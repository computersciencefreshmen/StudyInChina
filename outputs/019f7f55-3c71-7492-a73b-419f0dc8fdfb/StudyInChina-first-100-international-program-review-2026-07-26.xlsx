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4d0e3b49b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9f621094266e483d"/>
    <x:sheet xmlns:r="http://schemas.openxmlformats.org/officeDocument/2006/relationships" name="项目审核" sheetId="2" r:id="R4ac1c2d701cc41ae"/>
    <x:sheet xmlns:r="http://schemas.openxmlformats.org/officeDocument/2006/relationships" name="学校汇总" sheetId="3" r:id="R4917e22fed294c45"/>
    <x:sheet xmlns:r="http://schemas.openxmlformats.org/officeDocument/2006/relationships" name="排除与风险" sheetId="4" r:id="R72464050e7784c06"/>
    <x:sheet xmlns:r="http://schemas.openxmlformats.org/officeDocument/2006/relationships" name="采集口径" sheetId="5" r:id="R4035ae81d35d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472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Carlito"/>
    </x:font>
    <x:font>
      <x:sz val="11"/>
      <x:color rgb="FF5B6472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B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</x:fills>
  <x:borders count="3">
    <x:border/>
    <x:border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top"/>
    </x:xf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02a0497044e10" /><Relationship Type="http://schemas.openxmlformats.org/officeDocument/2006/relationships/theme" Target="/xl/theme/theme1.xml" Id="R49f35361a4cc4c27" /><Relationship Type="http://schemas.openxmlformats.org/officeDocument/2006/relationships/sharedStrings" Target="/xl/sharedStrings.xml" Id="Re2fd3f8c8def4433" /><Relationship Type="http://schemas.openxmlformats.org/officeDocument/2006/relationships/worksheet" Target="/xl/worksheets/sheet1.xml" Id="R9f621094266e483d" /><Relationship Type="http://schemas.openxmlformats.org/officeDocument/2006/relationships/worksheet" Target="/xl/worksheets/sheet2.xml" Id="R4ac1c2d701cc41ae" /><Relationship Type="http://schemas.openxmlformats.org/officeDocument/2006/relationships/worksheet" Target="/xl/worksheets/sheet3.xml" Id="R4917e22fed294c45" /><Relationship Type="http://schemas.openxmlformats.org/officeDocument/2006/relationships/worksheet" Target="/xl/worksheets/sheet4.xml" Id="R72464050e7784c06" /><Relationship Type="http://schemas.openxmlformats.org/officeDocument/2006/relationships/worksheet" Target="/xl/worksheets/sheet5.xml" Id="R4035ae81d35d4f02" /></Relationships>
</file>

<file path=xl/tables/table1.xml><?xml version="1.0" encoding="utf-8"?>
<x:table xmlns:x="http://schemas.openxmlformats.org/spreadsheetml/2006/main" id="1" name="InternationalProgramReviewTable" displayName="InternationalProgramReviewTable" ref="A3:U103" headerRowCount="1" totalsRowCount="0" totalsRowShown="0">
  <x:autoFilter ref="A3:U103"/>
  <x:tableColumns count="21">
    <x:tableColumn id="1" name="序号"/>
    <x:tableColumn id="2" name="学校"/>
    <x:tableColumn id="3" name="University"/>
    <x:tableColumn id="4" name="省份"/>
    <x:tableColumn id="5" name="项目原名"/>
    <x:tableColumn id="6" name="Program name"/>
    <x:tableColumn id="7" name="类型"/>
    <x:tableColumn id="8" name="层次"/>
    <x:tableColumn id="9" name="授课语言"/>
    <x:tableColumn id="10" name="入学季"/>
    <x:tableColumn id="11" name="申请开放"/>
    <x:tableColumn id="12" name="截止日期"/>
    <x:tableColumn id="13" name="周期状态"/>
    <x:tableColumn id="14" name="审核层级"/>
    <x:tableColumn id="15" name="发布判断"/>
    <x:tableColumn id="16" name="国际生资格证据"/>
    <x:tableColumn id="17" name="个人申请证据"/>
    <x:tableColumn id="18" name="官方项目页"/>
    <x:tableColumn id="19" name="官方目录"/>
    <x:tableColumn id="20" name="检查日期"/>
    <x:tableColumn id="21" name="采集分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itutionCoverageTable" displayName="InstitutionCoverageTable" ref="A3:I43" headerRowCount="1" totalsRowCount="0" totalsRowShown="0">
  <x:autoFilter ref="A3:I43"/>
  <x:tableColumns count="9">
    <x:tableColumn id="1" name="学校"/>
    <x:tableColumn id="2" name="项目数"/>
    <x:tableColumn id="3" name="周期可发布"/>
    <x:tableColumn id="4" name="仅项目身份"/>
    <x:tableColumn id="5" name="University"/>
    <x:tableColumn id="6" name="省份"/>
    <x:tableColumn id="7" name="双一流序号"/>
    <x:tableColumn id="8" name="项目类型"/>
    <x:tableColumn id="9" name="官方项目页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gramExclusionTable" displayName="ProgramExclusionTable" ref="A3:F33" headerRowCount="1" totalsRowCount="0" totalsRowShown="0">
  <x:autoFilter ref="A3:F33"/>
  <x:tableColumns count="6">
    <x:tableColumn id="1" name="序号"/>
    <x:tableColumn id="2" name="学校"/>
    <x:tableColumn id="3" name="项目"/>
    <x:tableColumn id="4" name="排除原因"/>
    <x:tableColumn id="5" name="来源"/>
    <x:tableColumn id="6" name="采集分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050863b8a84c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24a1738f2241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c3242d5b9f43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2" t="str">
        <x:v>StudyInChina 首批国际学生项目审核</x:v>
      </x:c>
    </x:row>
    <x:row r="2">
      <x:c r="A2" s="24" t="str">
        <x:v>本表先给你审核，不直接进入网站。核心目标是学校广度与国际申请资格，而不是继续堆叠少数高校的全部专业。</x:v>
      </x:c>
    </x:row>
    <x:row r="4">
      <x:c r="A4" s="8" t="str">
        <x:v>指标</x:v>
      </x:c>
      <x:c r="B4" s="8" t="str">
        <x:v>结果</x:v>
      </x:c>
      <x:c r="D4" s="8" t="str">
        <x:v>审计判断</x:v>
      </x:c>
    </x:row>
    <x:row r="5">
      <x:c r="A5" t="str">
        <x:v>审核项目</x:v>
      </x:c>
      <x:c r="B5" t="n">
        <x:f>COUNTA('项目审核'!$A$4:$A$103)</x:f>
        <x:v>100</x:v>
      </x:c>
      <x:c r="D5" s="28" t="str">
        <x:v>本批次从 8 个独立采集分片合并。所有记录都经过官方 HTTPS 来源、国际生资格和个人申请路径校验；仅周期可发布记录可进入下一步网站导入。</x:v>
      </x:c>
    </x:row>
    <x:row r="6">
      <x:c r="A6" t="str">
        <x:v>覆盖学校</x:v>
      </x:c>
      <x:c r="B6" t="n">
        <x:f>COUNTA('学校汇总'!$A$4:$A$43)</x:f>
        <x:v>40</x:v>
      </x:c>
    </x:row>
    <x:row r="7">
      <x:c r="A7" t="str">
        <x:v>周期可发布</x:v>
      </x:c>
      <x:c r="B7" t="n">
        <x:f>COUNTIF('项目审核'!$O$4:$O$103,"周期可发布")</x:f>
        <x:v>22</x:v>
      </x:c>
    </x:row>
    <x:row r="8">
      <x:c r="A8" t="str">
        <x:v>仅项目身份</x:v>
      </x:c>
      <x:c r="B8" t="n">
        <x:f>B5-B7</x:f>
        <x:v>78</x:v>
      </x:c>
    </x:row>
    <x:row r="9">
      <x:c r="A9" t="str">
        <x:v>排除/风险记录</x:v>
      </x:c>
      <x:c r="B9" t="n">
        <x:f>COUNTA('排除与风险'!$A$4:$A$33)</x:f>
        <x:v>30</x:v>
      </x:c>
    </x:row>
    <x:row r="10">
      <x:c r="A10" t="str">
        <x:v>每校最大项目数</x:v>
      </x:c>
      <x:c r="B10" t="n">
        <x:f>MAX('学校汇总'!$B$4:$B$43)</x:f>
        <x:v>3</x:v>
      </x:c>
    </x:row>
    <x:row r="12">
      <x:c r="A12" s="8" t="str">
        <x:v>本批次状态</x:v>
      </x:c>
    </x:row>
    <x:row r="13">
      <x:c r="A13" s="30" t="str">
        <x:v>candidate_not_published：先审阅学校分布、项目身份和周期状态。确认后再生成 Catalog Release；当前网站数据不会被本审核表直接覆盖。</x:v>
      </x:c>
    </x:row>
  </x:sheetData>
  <x:mergeCells>
    <x:mergeCell ref="A1:H1"/>
    <x:mergeCell ref="A2:H2"/>
    <x:mergeCell ref="D4:H4"/>
    <x:mergeCell ref="D5:H10"/>
    <x:mergeCell ref="A12:H12"/>
    <x:mergeCell ref="A13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13" hidden="0" customWidth="1"/>
    <x:col min="5" max="5" width="28" hidden="0" customWidth="1"/>
    <x:col min="6" max="6" width="30" hidden="0" customWidth="1"/>
    <x:col min="7" max="7" width="13" hidden="0" customWidth="1"/>
    <x:col min="8" max="8" width="13" hidden="0" customWidth="1"/>
    <x:col min="9" max="9" width="16" hidden="0" customWidth="1"/>
    <x:col min="10" max="10" width="14" hidden="0" customWidth="1"/>
    <x:col min="11" max="11" width="13" hidden="0" customWidth="1"/>
    <x:col min="12" max="12" width="13" hidden="0" customWidth="1"/>
    <x:col min="13" max="13" width="18" hidden="0" customWidth="1"/>
    <x:col min="14" max="14" width="22" hidden="0" customWidth="1"/>
    <x:col min="15" max="15" width="16" hidden="0" customWidth="1"/>
    <x:col min="16" max="16" width="34" hidden="0" customWidth="1"/>
    <x:col min="17" max="17" width="34" hidden="0" customWidth="1"/>
    <x:col min="18" max="18" width="42" hidden="0" customWidth="1"/>
    <x:col min="19" max="19" width="42" hidden="0" customWidth="1"/>
    <x:col min="20" max="20" width="13" hidden="0" customWidth="1"/>
    <x:col min="21" max="21" width="22" hidden="0" customWidth="1"/>
  </x:cols>
  <x:sheetData>
    <x:row r="1" ht="30" customHeight="1">
      <x:c r="A1" s="3" t="str">
        <x:v>首批国际学生项目审核表</x:v>
      </x:c>
      <x:c r="E1" s="15"/>
      <x:c r="F1" s="15"/>
      <x:c r="M1" s="15"/>
      <x:c r="N1" s="15"/>
      <x:c r="O1" s="15"/>
      <x:c r="P1" s="15"/>
      <x:c r="Q1" s="15"/>
      <x:c r="R1" s="15"/>
      <x:c r="S1" s="15"/>
      <x:c r="U1" s="15"/>
    </x:row>
    <x:row r="2" ht="36" customHeight="1">
      <x:c r="A2" s="6" t="str">
        <x:v>仅收录官方来源能够证明面向国际学生且存在个人申请路径的记录。cycle_ready 才可进入周期发布；program_identity_only 只证明项目存在。</x:v>
      </x:c>
    </x:row>
    <x:row r="3" ht="32" customHeight="1">
      <x:c r="A3" s="13" t="str">
        <x:v>序号</x:v>
      </x:c>
      <x:c r="B3" s="13" t="str">
        <x:v>学校</x:v>
      </x:c>
      <x:c r="C3" s="13" t="str">
        <x:v>University</x:v>
      </x:c>
      <x:c r="D3" s="13" t="str">
        <x:v>省份</x:v>
      </x:c>
      <x:c r="E3" s="13" t="str">
        <x:v>项目原名</x:v>
      </x:c>
      <x:c r="F3" s="13" t="str">
        <x:v>Program name</x:v>
      </x:c>
      <x:c r="G3" s="13" t="str">
        <x:v>类型</x:v>
      </x:c>
      <x:c r="H3" s="13" t="str">
        <x:v>层次</x:v>
      </x:c>
      <x:c r="I3" s="13" t="str">
        <x:v>授课语言</x:v>
      </x:c>
      <x:c r="J3" s="13" t="str">
        <x:v>入学季</x:v>
      </x:c>
      <x:c r="K3" s="13" t="str">
        <x:v>申请开放</x:v>
      </x:c>
      <x:c r="L3" s="13" t="str">
        <x:v>截止日期</x:v>
      </x:c>
      <x:c r="M3" s="13" t="str">
        <x:v>周期状态</x:v>
      </x:c>
      <x:c r="N3" s="13" t="str">
        <x:v>审核层级</x:v>
      </x:c>
      <x:c r="O3" s="13" t="str">
        <x:v>发布判断</x:v>
      </x:c>
      <x:c r="P3" s="13" t="str">
        <x:v>国际生资格证据</x:v>
      </x:c>
      <x:c r="Q3" s="13" t="str">
        <x:v>个人申请证据</x:v>
      </x:c>
      <x:c r="R3" s="13" t="str">
        <x:v>官方项目页</x:v>
      </x:c>
      <x:c r="S3" s="13" t="str">
        <x:v>官方目录</x:v>
      </x:c>
      <x:c r="T3" s="13" t="str">
        <x:v>检查日期</x:v>
      </x:c>
      <x:c r="U3" s="13" t="str">
        <x:v>采集分片</x:v>
      </x:c>
    </x:row>
    <x:row r="4">
      <x:c r="A4" s="14" t="n">
        <x:v>1</x:v>
      </x:c>
      <x:c r="B4" s="14" t="str">
        <x:v>中国人民大学</x:v>
      </x:c>
      <x:c r="C4" s="14" t="str">
        <x:v>Renmin University of China</x:v>
      </x:c>
      <x:c r="D4" s="14" t="str">
        <x:v>Beijing</x:v>
      </x:c>
      <x:c r="E4" s="14" t="str">
        <x:v>Chinese Language Program</x:v>
      </x:c>
      <x:c r="F4" s="14" t="str">
        <x:v>Chinese Language Program</x:v>
      </x:c>
      <x:c r="G4" s="14" t="str">
        <x:v>language</x:v>
      </x:c>
      <x:c r="H4" s="14" t="str">
        <x:v>not_applicable</x:v>
      </x:c>
      <x:c r="I4" s="14" t="str">
        <x:v>Chinese</x:v>
      </x:c>
      <x:c r="J4" s="14" t="str">
        <x:v>Spring 2027</x:v>
      </x:c>
      <x:c r="K4" s="16" t="n">
        <x:v>46310</x:v>
      </x:c>
      <x:c r="L4" s="16" t="n">
        <x:v>46341</x:v>
      </x:c>
      <x:c r="M4" s="14" t="str">
        <x:v>future</x:v>
      </x:c>
      <x:c r="N4" s="14" t="str">
        <x:v>cycle_ready</x:v>
      </x:c>
      <x:c r="O4" s="14" t="str">
        <x:f>IF(N4="cycle_ready","周期可发布","仅项目身份")</x:f>
        <x:v>周期可发布</x:v>
      </x:c>
      <x:c r="P4" s="14" t="str">
        <x:v>The official guide requires applicants to be non-Chinese citizens with ordinary passports.</x:v>
      </x:c>
      <x:c r="Q4" s="14" t="str">
        <x:v>Applicants submit directly through RUC's International Students Application System.</x:v>
      </x:c>
      <x:c r="R4" s="14" t="str">
        <x:v>https://iso.ruc.edu.cn/docs/2025-12/b911becc69294e3ebd5b337c5fbe70e4.pdf</x:v>
      </x:c>
      <x:c r="S4" s="14" t="str">
        <x:v>https://iso.ruc.edu.cn/ENGLISH/Apply/Chineselanguageprogram/index.htm</x:v>
      </x:c>
      <x:c r="T4" s="16" t="n">
        <x:v>46229</x:v>
      </x:c>
      <x:c r="U4" s="14" t="str">
        <x:v>north-east-01.json</x:v>
      </x:c>
    </x:row>
    <x:row r="5">
      <x:c r="A5" s="14" t="n">
        <x:v>2</x:v>
      </x:c>
      <x:c r="B5" s="14" t="str">
        <x:v>北京交通大学</x:v>
      </x:c>
      <x:c r="C5" s="14" t="str">
        <x:v>Beijing Jiaotong University</x:v>
      </x:c>
      <x:c r="D5" s="14" t="str">
        <x:v>Beijing</x:v>
      </x:c>
      <x:c r="E5" s="14" t="str">
        <x:v>普通进修生项目</x:v>
      </x:c>
      <x:c r="F5" s="14" t="str">
        <x:v>General Visiting Student Program</x:v>
      </x:c>
      <x:c r="G5" s="14" t="str">
        <x:v>visiting</x:v>
      </x:c>
      <x:c r="H5" s="14" t="str">
        <x:v>not_applicable</x:v>
      </x:c>
      <x:c r="I5" s="14" t="str">
        <x:v>source_language</x:v>
      </x:c>
      <x:c r="J5" s="14" t="str">
        <x:v>not_applicable</x:v>
      </x:c>
      <x:c r="K5" s="16"/>
      <x:c r="L5" s="16"/>
      <x:c r="M5" s="14" t="str">
        <x:v>next_cycle_pending</x:v>
      </x:c>
      <x:c r="N5" s="14" t="str">
        <x:v>program_identity_only</x:v>
      </x:c>
      <x:c r="O5" s="14" t="str">
        <x:f>IF(N5="cycle_ready","周期可发布","仅项目身份")</x:f>
        <x:v>仅项目身份</x:v>
      </x:c>
      <x:c r="P5" s="14" t="str">
        <x:v>BJTU's official international-student brochure lists this program for students in undergraduate year two or above.</x:v>
      </x:c>
      <x:c r="Q5" s="14" t="str">
        <x:v>BJTU's official application platform permits applicants to register and submit their own applications.</x:v>
      </x:c>
      <x:c r="R5" s="14" t="str">
        <x:v>https://www.bjtu.edu.cn/docs/2024-05/3aa28ff57e374540b43be35b3b29acc1.pdf</x:v>
      </x:c>
      <x:c r="S5" s="14" t="str">
        <x:v>https://bjtu.17gz.org/html/article_content/202603/84D3D549E1FB43AB9FBAC905EE4888FD.shtml</x:v>
      </x:c>
      <x:c r="T5" s="16" t="n">
        <x:v>46229</x:v>
      </x:c>
      <x:c r="U5" s="14" t="str">
        <x:v>north-east-02.json</x:v>
      </x:c>
    </x:row>
    <x:row r="6">
      <x:c r="A6" s="14" t="n">
        <x:v>3</x:v>
      </x:c>
      <x:c r="B6" s="14" t="str">
        <x:v>北京工业大学</x:v>
      </x:c>
      <x:c r="C6" s="14" t="str">
        <x:v>Beijing University of Technology</x:v>
      </x:c>
      <x:c r="D6" s="14" t="str">
        <x:v>Beijing</x:v>
      </x:c>
      <x:c r="E6" s="14" t="str">
        <x:v>Computer Science and Technology</x:v>
      </x:c>
      <x:c r="F6" s="14" t="str">
        <x:v>Computer Science and Technology</x:v>
      </x:c>
      <x:c r="G6" s="14" t="str">
        <x:v>degree</x:v>
      </x:c>
      <x:c r="H6" s="14" t="str">
        <x:v>bachelor</x:v>
      </x:c>
      <x:c r="I6" s="14" t="str">
        <x:v>Chinese</x:v>
      </x:c>
      <x:c r="J6" s="14" t="str">
        <x:v>not_applicable</x:v>
      </x:c>
      <x:c r="K6" s="16"/>
      <x:c r="L6" s="16"/>
      <x:c r="M6" s="14" t="str">
        <x:v>next_cycle_pending</x:v>
      </x:c>
      <x:c r="N6" s="14" t="str">
        <x:v>program_identity_only</x:v>
      </x:c>
      <x:c r="O6" s="14" t="str">
        <x:f>IF(N6="cycle_ready","周期可发布","仅项目身份")</x:f>
        <x:v>仅项目身份</x:v>
      </x:c>
      <x:c r="P6" s="14" t="str">
        <x:v>The official international undergraduate catalog lists Computer Science and Technology for non-Chinese applicants.</x:v>
      </x:c>
      <x:c r="Q6" s="14" t="str">
        <x:v>Applicants complete and submit the application through BJUT's online application system.</x:v>
      </x:c>
      <x:c r="R6" s="14" t="str">
        <x:v>https://isa.bjut.edu.cn/__local/C/5B/8A/281F6B1C10341C2FF785EEFE956_1A4C4532_5675A.pdf</x:v>
      </x:c>
      <x:c r="S6" s="14" t="str">
        <x:v>https://isa.bjut.edu.cn/en/ADMISSION/Bachelor_s_Degree_Programs.htm</x:v>
      </x:c>
      <x:c r="T6" s="16" t="n">
        <x:v>46229</x:v>
      </x:c>
      <x:c r="U6" s="14" t="str">
        <x:v>north-east-01.json</x:v>
      </x:c>
    </x:row>
    <x:row r="7">
      <x:c r="A7" s="14" t="n">
        <x:v>4</x:v>
      </x:c>
      <x:c r="B7" s="14" t="str">
        <x:v>北京航空航天大学</x:v>
      </x:c>
      <x:c r="C7" s="14" t="str">
        <x:v>Beihang University</x:v>
      </x:c>
      <x:c r="D7" s="14" t="str">
        <x:v>Beijing</x:v>
      </x:c>
      <x:c r="E7" s="14" t="str">
        <x:v>Computer Science and Technology</x:v>
      </x:c>
      <x:c r="F7" s="14" t="str">
        <x:v>Computer Science and Technology</x:v>
      </x:c>
      <x:c r="G7" s="14" t="str">
        <x:v>degree</x:v>
      </x:c>
      <x:c r="H7" s="14" t="str">
        <x:v>bachelor</x:v>
      </x:c>
      <x:c r="I7" s="14" t="str">
        <x:v>Chinese</x:v>
      </x:c>
      <x:c r="J7" s="14" t="str">
        <x:v>not_applicable</x:v>
      </x:c>
      <x:c r="K7" s="16"/>
      <x:c r="L7" s="16"/>
      <x:c r="M7" s="14" t="str">
        <x:v>next_cycle_pending</x:v>
      </x:c>
      <x:c r="N7" s="14" t="str">
        <x:v>program_identity_only</x:v>
      </x:c>
      <x:c r="O7" s="14" t="str">
        <x:f>IF(N7="cycle_ready","周期可发布","仅项目身份")</x:f>
        <x:v>仅项目身份</x:v>
      </x:c>
      <x:c r="P7" s="14" t="str">
        <x:v>Beihang lists this major in its official international undergraduate program catalog.</x:v>
      </x:c>
      <x:c r="Q7" s="14" t="str">
        <x:v>Applicants register and submit through Beihang's International Student Online Application System.</x:v>
      </x:c>
      <x:c r="R7" s="14" t="str">
        <x:v>https://is.buaa.edu.cn/en/info/1515/3312.htm</x:v>
      </x:c>
      <x:c r="S7" s="14" t="str">
        <x:v>https://is.buaa.edu.cn/en/info/1515/3312.htm</x:v>
      </x:c>
      <x:c r="T7" s="16" t="n">
        <x:v>46229</x:v>
      </x:c>
      <x:c r="U7" s="14" t="str">
        <x:v>north-east-01.json</x:v>
      </x:c>
    </x:row>
    <x:row r="8">
      <x:c r="A8" s="14" t="n">
        <x:v>5</x:v>
      </x:c>
      <x:c r="B8" s="14" t="str">
        <x:v>北京科技大学</x:v>
      </x:c>
      <x:c r="C8" s="14" t="str">
        <x:v>University of Science and Technology Beijing</x:v>
      </x:c>
      <x:c r="D8" s="14" t="str">
        <x:v>Beijing</x:v>
      </x:c>
      <x:c r="E8" s="14" t="str">
        <x:v>Computer Science and Technology</x:v>
      </x:c>
      <x:c r="F8" s="14" t="str">
        <x:v>Computer Science and Technology</x:v>
      </x:c>
      <x:c r="G8" s="14" t="str">
        <x:v>degree</x:v>
      </x:c>
      <x:c r="H8" s="14" t="str">
        <x:v>bachelor</x:v>
      </x:c>
      <x:c r="I8" s="14" t="str">
        <x:v>Chinese</x:v>
      </x:c>
      <x:c r="J8" s="14" t="str">
        <x:v>not_applicable</x:v>
      </x:c>
      <x:c r="K8" s="16"/>
      <x:c r="L8" s="16"/>
      <x:c r="M8" s="14" t="str">
        <x:v>next_cycle_pending</x:v>
      </x:c>
      <x:c r="N8" s="14" t="str">
        <x:v>program_identity_only</x:v>
      </x:c>
      <x:c r="O8" s="14" t="str">
        <x:f>IF(N8="cycle_ready","周期可发布","仅项目身份")</x:f>
        <x:v>仅项目身份</x:v>
      </x:c>
      <x:c r="P8" s="14" t="str">
        <x:v>USTB's official international undergraduate brochure lists this major for foreign-passport applicants.</x:v>
      </x:c>
      <x:c r="Q8" s="14" t="str">
        <x:v>Applicants register and submit directly through USTB's international online application system.</x:v>
      </x:c>
      <x:c r="R8" s="14" t="str">
        <x:v>https://iscen.ustb.edu.cn/Admissions/7a574bf57214495aa87b81647650f3da.htm</x:v>
      </x:c>
      <x:c r="S8" s="14" t="str">
        <x:v>https://iscen.ustb.edu.cn/Admissions/index.htm</x:v>
      </x:c>
      <x:c r="T8" s="16" t="n">
        <x:v>46229</x:v>
      </x:c>
      <x:c r="U8" s="14" t="str">
        <x:v>north-east-01.json</x:v>
      </x:c>
    </x:row>
    <x:row r="9">
      <x:c r="A9" s="14" t="n">
        <x:v>6</x:v>
      </x:c>
      <x:c r="B9" s="14" t="str">
        <x:v>北京化工大学</x:v>
      </x:c>
      <x:c r="C9" s="14" t="str">
        <x:v>Beijing University of Chemical Technology</x:v>
      </x:c>
      <x:c r="D9" s="14" t="str">
        <x:v>Beijing</x:v>
      </x:c>
      <x:c r="E9" s="14" t="str">
        <x:v>Chemical Engineering and Technology</x:v>
      </x:c>
      <x:c r="F9" s="14" t="str">
        <x:v>Chemical Engineering and Technology</x:v>
      </x:c>
      <x:c r="G9" s="14" t="str">
        <x:v>degree</x:v>
      </x:c>
      <x:c r="H9" s="14" t="str">
        <x:v>master</x:v>
      </x:c>
      <x:c r="I9" s="14" t="str">
        <x:v>English/Chinese</x:v>
      </x:c>
      <x:c r="J9" s="14" t="str">
        <x:v>not_applicable</x:v>
      </x:c>
      <x:c r="K9" s="16"/>
      <x:c r="L9" s="16"/>
      <x:c r="M9" s="14" t="str">
        <x:v>next_cycle_pending</x:v>
      </x:c>
      <x:c r="N9" s="14" t="str">
        <x:v>program_identity_only</x:v>
      </x:c>
      <x:c r="O9" s="14" t="str">
        <x:f>IF(N9="cycle_ready","周期可发布","仅项目身份")</x:f>
        <x:v>仅项目身份</x:v>
      </x:c>
      <x:c r="P9" s="14" t="str">
        <x:v>BUCT's official 2026 international postgraduate call lists this master's major.</x:v>
      </x:c>
      <x:c r="Q9" s="14" t="str">
        <x:v>Applicants personally complete both the CSC and BUCT online application portals.</x:v>
      </x:c>
      <x:c r="R9" s="14" t="str">
        <x:v>https://en-sie.buct.edu.cn/2025/1215/c4216a215812/page.htm</x:v>
      </x:c>
      <x:c r="S9" s="14" t="str">
        <x:v>https://en-sie.buct.edu.cn/3874/list.htm</x:v>
      </x:c>
      <x:c r="T9" s="16" t="n">
        <x:v>46229</x:v>
      </x:c>
      <x:c r="U9" s="14" t="str">
        <x:v>north-east-01.json</x:v>
      </x:c>
    </x:row>
    <x:row r="10">
      <x:c r="A10" s="14" t="n">
        <x:v>7</x:v>
      </x:c>
      <x:c r="B10" s="14" t="str">
        <x:v>北京邮电大学</x:v>
      </x:c>
      <x:c r="C10" s="14" t="str">
        <x:v>Beijing University of Posts and Telecommunications</x:v>
      </x:c>
      <x:c r="D10" s="14" t="str">
        <x:v>Beijing</x:v>
      </x:c>
      <x:c r="E10" s="14" t="str">
        <x:v>中文授课本科项目</x:v>
      </x:c>
      <x:c r="F10" s="14" t="str">
        <x:v>Chinese-taught Bachelor's Program</x:v>
      </x:c>
      <x:c r="G10" s="14" t="str">
        <x:v>degree</x:v>
      </x:c>
      <x:c r="H10" s="14" t="str">
        <x:v>bachelor</x:v>
      </x:c>
      <x:c r="I10" s="14" t="str">
        <x:v>Chinese</x:v>
      </x:c>
      <x:c r="J10" s="14" t="str">
        <x:v>not_applicable</x:v>
      </x:c>
      <x:c r="K10" s="16"/>
      <x:c r="L10" s="16"/>
      <x:c r="M10" s="14" t="str">
        <x:v>next_cycle_pending</x:v>
      </x:c>
      <x:c r="N10" s="14" t="str">
        <x:v>program_identity_only</x:v>
      </x:c>
      <x:c r="O10" s="14" t="str">
        <x:f>IF(N10="cycle_ready","周期可发布","仅项目身份")</x:f>
        <x:v>仅项目身份</x:v>
      </x:c>
      <x:c r="P10" s="14" t="str">
        <x:v>BUPT's official admission page defines this program for foreign-national international students.</x:v>
      </x:c>
      <x:c r="Q10" s="14" t="str">
        <x:v>Applicants prepare their documents and submit directly through BUPT's online application system.</x:v>
      </x:c>
      <x:c r="R10" s="14" t="str">
        <x:v>https://ois.bupt.edu.cn/info/1010/1552.htm</x:v>
      </x:c>
      <x:c r="S10" s="14" t="str">
        <x:v>https://ois.bupt.edu.cn/info/1010/1659.htm</x:v>
      </x:c>
      <x:c r="T10" s="16" t="n">
        <x:v>46229</x:v>
      </x:c>
      <x:c r="U10" s="14" t="str">
        <x:v>north-east-02.json</x:v>
      </x:c>
    </x:row>
    <x:row r="11">
      <x:c r="A11" s="14" t="n">
        <x:v>8</x:v>
      </x:c>
      <x:c r="B11" s="14" t="str">
        <x:v>中国农业大学</x:v>
      </x:c>
      <x:c r="C11" s="14" t="str">
        <x:v>China Agricultural University</x:v>
      </x:c>
      <x:c r="D11" s="14" t="str">
        <x:v>Beijing</x:v>
      </x:c>
      <x:c r="E11" s="14" t="str">
        <x:v>作物遗传育种</x:v>
      </x:c>
      <x:c r="F11" s="14" t="str">
        <x:v>Crop Genetics and Breeding</x:v>
      </x:c>
      <x:c r="G11" s="14" t="str">
        <x:v>degree</x:v>
      </x:c>
      <x:c r="H11" s="14" t="str">
        <x:v>master</x:v>
      </x:c>
      <x:c r="I11" s="14" t="str">
        <x:v>English</x:v>
      </x:c>
      <x:c r="J11" s="14" t="str">
        <x:v>not_applicable</x:v>
      </x:c>
      <x:c r="K11" s="16"/>
      <x:c r="L11" s="16"/>
      <x:c r="M11" s="14" t="str">
        <x:v>next_cycle_pending</x:v>
      </x:c>
      <x:c r="N11" s="14" t="str">
        <x:v>program_identity_only</x:v>
      </x:c>
      <x:c r="O11" s="14" t="str">
        <x:f>IF(N11="cycle_ready","周期可发布","仅项目身份")</x:f>
        <x:v>仅项目身份</x:v>
      </x:c>
      <x:c r="P11" s="14" t="str">
        <x:v>CAU's official international graduate catalog lists this English-taught master's program.</x:v>
      </x:c>
      <x:c r="Q11" s="14" t="str">
        <x:v>Applicants choose a funding route and submit their chosen major in CAU's application system.</x:v>
      </x:c>
      <x:c r="R11" s="14" t="str">
        <x:v>https://admissions.cau.edu.cn/art/2025/9/29/art_48604_1107314.html</x:v>
      </x:c>
      <x:c r="S11" s="14" t="str">
        <x:v>https://admissions.cau.edu.cn/col/col48591/index.html</x:v>
      </x:c>
      <x:c r="T11" s="16" t="n">
        <x:v>46229</x:v>
      </x:c>
      <x:c r="U11" s="14" t="str">
        <x:v>north-east-02.json</x:v>
      </x:c>
    </x:row>
    <x:row r="12">
      <x:c r="A12" s="14" t="n">
        <x:v>9</x:v>
      </x:c>
      <x:c r="B12" s="14" t="str">
        <x:v>北京林业大学</x:v>
      </x:c>
      <x:c r="C12" s="14" t="str">
        <x:v>Beijing Forestry University</x:v>
      </x:c>
      <x:c r="D12" s="14" t="str">
        <x:v>Beijing</x:v>
      </x:c>
      <x:c r="E12" s="14" t="str">
        <x:v>汉语项目</x:v>
      </x:c>
      <x:c r="F12" s="14" t="str">
        <x:v>Chinese Language Program</x:v>
      </x:c>
      <x:c r="G12" s="14" t="str">
        <x:v>language</x:v>
      </x:c>
      <x:c r="H12" s="14" t="str">
        <x:v>not_applicable</x:v>
      </x:c>
      <x:c r="I12" s="14" t="str">
        <x:v>Chinese</x:v>
      </x:c>
      <x:c r="J12" s="14" t="str">
        <x:v>not_applicable</x:v>
      </x:c>
      <x:c r="K12" s="16"/>
      <x:c r="L12" s="16"/>
      <x:c r="M12" s="14" t="str">
        <x:v>next_cycle_pending</x:v>
      </x:c>
      <x:c r="N12" s="14" t="str">
        <x:v>program_identity_only</x:v>
      </x:c>
      <x:c r="O12" s="14" t="str">
        <x:f>IF(N12="cycle_ready","周期可发布","仅项目身份")</x:f>
        <x:v>仅项目身份</x:v>
      </x:c>
      <x:c r="P12" s="14" t="str">
        <x:v>BJFU's official international admission overview lists the Chinese Language Program for non-Chinese citizens aged 18–60 with a valid passport.</x:v>
      </x:c>
      <x:c r="Q12" s="14" t="str">
        <x:v>The official program entry provides an APPLY NOW route for the applicant; no partner-university or group-enrollment condition is stated.</x:v>
      </x:c>
      <x:c r="R12" s="14" t="str">
        <x:v>https://ic.bjfu.edu.cn/Admission/Overview/index.htm</x:v>
      </x:c>
      <x:c r="S12" s="14" t="str">
        <x:v>https://ic.bjfu.edu.cn/Programs/NonDegreePrograms/index.htm</x:v>
      </x:c>
      <x:c r="T12" s="16" t="n">
        <x:v>46229</x:v>
      </x:c>
      <x:c r="U12" s="14" t="str">
        <x:v>north-east-03.json</x:v>
      </x:c>
    </x:row>
    <x:row r="13">
      <x:c r="A13" s="14" t="n">
        <x:v>10</x:v>
      </x:c>
      <x:c r="B13" s="14" t="str">
        <x:v>北京师范大学</x:v>
      </x:c>
      <x:c r="C13" s="14" t="str">
        <x:v>Beijing Normal University</x:v>
      </x:c>
      <x:c r="D13" s="14" t="str">
        <x:v>Beijing</x:v>
      </x:c>
      <x:c r="E13" s="14" t="str">
        <x:v>Chinese as a Second Language</x:v>
      </x:c>
      <x:c r="F13" s="14" t="str">
        <x:v>Chinese as a Second Language</x:v>
      </x:c>
      <x:c r="G13" s="14" t="str">
        <x:v>degree</x:v>
      </x:c>
      <x:c r="H13" s="14" t="str">
        <x:v>bachelor</x:v>
      </x:c>
      <x:c r="I13" s="14" t="str">
        <x:v>Chinese</x:v>
      </x:c>
      <x:c r="J13" s="14" t="str">
        <x:v>not_applicable</x:v>
      </x:c>
      <x:c r="K13" s="16"/>
      <x:c r="L13" s="16"/>
      <x:c r="M13" s="14" t="str">
        <x:v>next_cycle_pending</x:v>
      </x:c>
      <x:c r="N13" s="14" t="str">
        <x:v>program_identity_only</x:v>
      </x:c>
      <x:c r="O13" s="14" t="str">
        <x:f>IF(N13="cycle_ready","周期可发布","仅项目身份")</x:f>
        <x:v>仅项目身份</x:v>
      </x:c>
      <x:c r="P13" s="14" t="str">
        <x:v>BNU's official 2026 catalog lists this bachelor's major for undergraduate international students.</x:v>
      </x:c>
      <x:c r="Q13" s="14" t="str">
        <x:v>Applicants register, choose a major, and submit through BNU's international application system.</x:v>
      </x:c>
      <x:c r="R13" s="14" t="str">
        <x:v>https://admission-is.bnu.edu.cn/english/admissionprogram/bachelordegreeprogram/majorcatalog/index.html</x:v>
      </x:c>
      <x:c r="S13" s="14" t="str">
        <x:v>https://admission-is.bnu.edu.cn/english/admissionprogram/bachelordegreeprogram/admissionbrochure/index.html</x:v>
      </x:c>
      <x:c r="T13" s="16" t="n">
        <x:v>46229</x:v>
      </x:c>
      <x:c r="U13" s="14" t="str">
        <x:v>north-east-02.json</x:v>
      </x:c>
    </x:row>
    <x:row r="14">
      <x:c r="A14" s="14" t="n">
        <x:v>11</x:v>
      </x:c>
      <x:c r="B14" s="14" t="str">
        <x:v>北京外国语大学</x:v>
      </x:c>
      <x:c r="C14" s="14" t="str">
        <x:v>Beijing Foreign Studies University</x:v>
      </x:c>
      <x:c r="D14" s="14" t="str">
        <x:v>Beijing</x:v>
      </x:c>
      <x:c r="E14" s="14" t="str">
        <x:v>Finance</x:v>
      </x:c>
      <x:c r="F14" s="14" t="str">
        <x:v>Finance</x:v>
      </x:c>
      <x:c r="G14" s="14" t="str">
        <x:v>degree</x:v>
      </x:c>
      <x:c r="H14" s="14" t="str">
        <x:v>bachelor</x:v>
      </x:c>
      <x:c r="I14" s="14" t="str">
        <x:v>English</x:v>
      </x:c>
      <x:c r="J14" s="14" t="str">
        <x:v>Spring 2027</x:v>
      </x:c>
      <x:c r="K14" s="16" t="n">
        <x:v>46310</x:v>
      </x:c>
      <x:c r="L14" s="16" t="n">
        <x:v>46371</x:v>
      </x:c>
      <x:c r="M14" s="14" t="str">
        <x:v>future</x:v>
      </x:c>
      <x:c r="N14" s="14" t="str">
        <x:v>cycle_ready</x:v>
      </x:c>
      <x:c r="O14" s="14" t="str">
        <x:f>IF(N14="cycle_ready","周期可发布","仅项目身份")</x:f>
        <x:v>周期可发布</x:v>
      </x:c>
      <x:c r="P14" s="14" t="str">
        <x:v>BFSU's official 2026 international undergraduate prospectus lists Finance among its English-taught majors and requires a valid foreign passport and non-Chinese citizenship.</x:v>
      </x:c>
      <x:c r="Q14" s="14" t="str">
        <x:v>The official prospectus directs applicants to complete their own English-language online application through study.bfsu.edu.cn.</x:v>
      </x:c>
      <x:c r="R14" s="14" t="str">
        <x:v>https://osao.bfsu.edu.cn/info/2612/7182.htm</x:v>
      </x:c>
      <x:c r="S14" s="14" t="str">
        <x:v>https://osao.bfsu.edu.cn/Academics/Admissions_Brochure.htm</x:v>
      </x:c>
      <x:c r="T14" s="16" t="n">
        <x:v>46229</x:v>
      </x:c>
      <x:c r="U14" s="14" t="str">
        <x:v>north-east-03.json</x:v>
      </x:c>
    </x:row>
    <x:row r="15">
      <x:c r="A15" s="14" t="n">
        <x:v>12</x:v>
      </x:c>
      <x:c r="B15" s="14" t="str">
        <x:v>中国传媒大学</x:v>
      </x:c>
      <x:c r="C15" s="14" t="str">
        <x:v>Communication University of China</x:v>
      </x:c>
      <x:c r="D15" s="14" t="str">
        <x:v>Beijing</x:v>
      </x:c>
      <x:c r="E15" s="14" t="str">
        <x:v>数字媒体艺术</x:v>
      </x:c>
      <x:c r="F15" s="14" t="str">
        <x:v>Digital Media Art</x:v>
      </x:c>
      <x:c r="G15" s="14" t="str">
        <x:v>degree</x:v>
      </x:c>
      <x:c r="H15" s="14" t="str">
        <x:v>bachelor</x:v>
      </x:c>
      <x:c r="I15" s="14" t="str">
        <x:v>Chinese</x:v>
      </x:c>
      <x:c r="J15" s="14" t="str">
        <x:v>not_applicable</x:v>
      </x:c>
      <x:c r="K15" s="16"/>
      <x:c r="L15" s="16"/>
      <x:c r="M15" s="14" t="str">
        <x:v>next_cycle_pending</x:v>
      </x:c>
      <x:c r="N15" s="14" t="str">
        <x:v>program_identity_only</x:v>
      </x:c>
      <x:c r="O15" s="14" t="str">
        <x:f>IF(N15="cycle_ready","周期可发布","仅项目身份")</x:f>
        <x:v>仅项目身份</x:v>
      </x:c>
      <x:c r="P15" s="14" t="str">
        <x:v>CUC's official international admissions Q&amp;A expressly names Digital Media Art among the featured programs open to international students, and the official undergraduate catalog confirms its degree-program context.</x:v>
      </x:c>
      <x:c r="Q15" s="14" t="str">
        <x:v>CUC's official Q&amp;A defines online application and submission of materials through its International Student Online Service System.</x:v>
      </x:c>
      <x:c r="R15" s="14" t="str">
        <x:v>https://icuc.cuc.edu.cn/2026/0206/c7289a266964/page.htm</x:v>
      </x:c>
      <x:c r="S15" s="14" t="str">
        <x:v>https://icuc.cuc.edu.cn/2026/0204/c7289a266930/page.htm</x:v>
      </x:c>
      <x:c r="T15" s="16" t="n">
        <x:v>46229</x:v>
      </x:c>
      <x:c r="U15" s="14" t="str">
        <x:v>north-east-03.json</x:v>
      </x:c>
    </x:row>
    <x:row r="16">
      <x:c r="A16" s="14" t="n">
        <x:v>13</x:v>
      </x:c>
      <x:c r="B16" s="14" t="str">
        <x:v>中央财经大学</x:v>
      </x:c>
      <x:c r="C16" s="14" t="str">
        <x:v>Central University of Finance and Economics</x:v>
      </x:c>
      <x:c r="D16" s="14" t="str">
        <x:v>Beijing</x:v>
      </x:c>
      <x:c r="E16" s="14" t="str">
        <x:v>Finance</x:v>
      </x:c>
      <x:c r="F16" s="14" t="str">
        <x:v>Finance</x:v>
      </x:c>
      <x:c r="G16" s="14" t="str">
        <x:v>degree</x:v>
      </x:c>
      <x:c r="H16" s="14" t="str">
        <x:v>master</x:v>
      </x:c>
      <x:c r="I16" s="14" t="str">
        <x:v>English</x:v>
      </x:c>
      <x:c r="J16" s="14" t="str">
        <x:v>not_applicable</x:v>
      </x:c>
      <x:c r="K16" s="16"/>
      <x:c r="L16" s="16"/>
      <x:c r="M16" s="14" t="str">
        <x:v>next_cycle_pending</x:v>
      </x:c>
      <x:c r="N16" s="14" t="str">
        <x:v>program_identity_only</x:v>
      </x:c>
      <x:c r="O16" s="14" t="str">
        <x:f>IF(N16="cycle_ready","周期可发布","仅项目身份")</x:f>
        <x:v>仅项目身份</x:v>
      </x:c>
      <x:c r="P16" s="14" t="str">
        <x:v>CUFE's official international master's catalog lists Finance as an English-taught program; its international application guide requires non-Chinese citizenship and a bachelor's degree or above.</x:v>
      </x:c>
      <x:c r="Q16" s="14" t="str">
        <x:v>The official guide instructs applicants to sign in to CUFE's International Student Service System and submit the online application.</x:v>
      </x:c>
      <x:c r="R16" s="14" t="str">
        <x:v>https://sice.cufe.edu.cn/admissions/info/1046/3425.htm</x:v>
      </x:c>
      <x:c r="S16" s="14" t="str">
        <x:v>https://sice.cufe.edu.cn/admissions/info/1046/3424.htm</x:v>
      </x:c>
      <x:c r="T16" s="16" t="n">
        <x:v>46229</x:v>
      </x:c>
      <x:c r="U16" s="14" t="str">
        <x:v>north-east-03.json</x:v>
      </x:c>
    </x:row>
    <x:row r="17">
      <x:c r="A17" s="14" t="n">
        <x:v>14</x:v>
      </x:c>
      <x:c r="B17" s="14" t="str">
        <x:v>对外经济贸易大学</x:v>
      </x:c>
      <x:c r="C17" s="14" t="str">
        <x:v>University of International Business and Economics</x:v>
      </x:c>
      <x:c r="D17" s="14" t="str">
        <x:v>Beijing</x:v>
      </x:c>
      <x:c r="E17" s="14" t="str">
        <x:v>Economics</x:v>
      </x:c>
      <x:c r="F17" s="14" t="str">
        <x:v>Economics</x:v>
      </x:c>
      <x:c r="G17" s="14" t="str">
        <x:v>degree</x:v>
      </x:c>
      <x:c r="H17" s="14" t="str">
        <x:v>bachelor</x:v>
      </x:c>
      <x:c r="I17" s="14" t="str">
        <x:v>English</x:v>
      </x:c>
      <x:c r="J17" s="14" t="str">
        <x:v>Spring 2027</x:v>
      </x:c>
      <x:c r="K17" s="16" t="n">
        <x:v>46315</x:v>
      </x:c>
      <x:c r="L17" s="16" t="n">
        <x:v>46387</x:v>
      </x:c>
      <x:c r="M17" s="14" t="str">
        <x:v>future</x:v>
      </x:c>
      <x:c r="N17" s="14" t="str">
        <x:v>cycle_ready</x:v>
      </x:c>
      <x:c r="O17" s="14" t="str">
        <x:f>IF(N17="cycle_ready","周期可发布","仅项目身份")</x:f>
        <x:v>周期可发布</x:v>
      </x:c>
      <x:c r="P17" s="14" t="str">
        <x:v>UIBE lists Economics in its official English-taught International Undergraduate Programs.</x:v>
      </x:c>
      <x:c r="Q17" s="14" t="str">
        <x:v>The official program page directs applicants to apply online through UIBE.</x:v>
      </x:c>
      <x:c r="R17" s="14" t="str">
        <x:v>https://sie.uibe.edu.cn/en/Prgr/BacDegPro/OfEn/index.htm</x:v>
      </x:c>
      <x:c r="S17" s="14" t="str">
        <x:v>https://sie.uibe.edu.cn/en/Prgr/index.htm</x:v>
      </x:c>
      <x:c r="T17" s="16" t="n">
        <x:v>46229</x:v>
      </x:c>
      <x:c r="U17" s="14" t="str">
        <x:v>north-east-02.json</x:v>
      </x:c>
    </x:row>
    <x:row r="18">
      <x:c r="A18" s="14" t="n">
        <x:v>15</x:v>
      </x:c>
      <x:c r="B18" s="14" t="str">
        <x:v>中央民族大学</x:v>
      </x:c>
      <x:c r="C18" s="14" t="str">
        <x:v>Minzu University of China</x:v>
      </x:c>
      <x:c r="D18" s="14" t="str">
        <x:v>Beijing</x:v>
      </x:c>
      <x:c r="E18" s="14" t="str">
        <x:v>一学期研修生（国际中文教育方向）</x:v>
      </x:c>
      <x:c r="F18" s="14" t="str">
        <x:v>One-Semester Study Program — International Chinese Language Education</x:v>
      </x:c>
      <x:c r="G18" s="14" t="str">
        <x:v>language</x:v>
      </x:c>
      <x:c r="H18" s="14" t="str">
        <x:v>not_applicable</x:v>
      </x:c>
      <x:c r="I18" s="14" t="str">
        <x:v>Chinese</x:v>
      </x:c>
      <x:c r="J18" s="14" t="str">
        <x:v>Spring 2027</x:v>
      </x:c>
      <x:c r="K18" s="16" t="n">
        <x:v>46082</x:v>
      </x:c>
      <x:c r="L18" s="16" t="n">
        <x:v>46326</x:v>
      </x:c>
      <x:c r="M18" s="14" t="str">
        <x:v>open</x:v>
      </x:c>
      <x:c r="N18" s="14" t="str">
        <x:v>cycle_ready</x:v>
      </x:c>
      <x:c r="O18" s="14" t="str">
        <x:f>IF(N18="cycle_ready","周期可发布","仅项目身份")</x:f>
        <x:v>周期可发布</x:v>
      </x:c>
      <x:c r="P18" s="14" t="str">
        <x:v>MUC's official 2026 International Chinese Language Teachers Scholarship guide lists the one-semester International Chinese Language Education direction for non-Chinese applicants, including a March 2027 intake.</x:v>
      </x:c>
      <x:c r="Q18" s="14" t="str">
        <x:v>The official guide requires the applicant to submit online in both the scholarship system and MUC's international student system; a recommending-institution letter is also required.</x:v>
      </x:c>
      <x:c r="R18" s="14" t="str">
        <x:v>https://cie.muc.edu.cn/info/1806/12379.htm</x:v>
      </x:c>
      <x:c r="S18" s="14" t="str">
        <x:v>https://cie.muc.edu.cn/lxmd2/hyjxxm/jxj.htm</x:v>
      </x:c>
      <x:c r="T18" s="16" t="n">
        <x:v>46229</x:v>
      </x:c>
      <x:c r="U18" s="14" t="str">
        <x:v>north-east-03.json</x:v>
      </x:c>
    </x:row>
    <x:row r="19">
      <x:c r="A19" s="14" t="n">
        <x:v>16</x:v>
      </x:c>
      <x:c r="B19" s="14" t="str">
        <x:v>南开大学</x:v>
      </x:c>
      <x:c r="C19" s="14" t="str">
        <x:v>Nankai University</x:v>
      </x:c>
      <x:c r="D19" s="14" t="str">
        <x:v>Tianjin</x:v>
      </x:c>
      <x:c r="E19" s="14" t="str">
        <x:v>国际中文教育</x:v>
      </x:c>
      <x:c r="F19" s="14" t="str">
        <x:v>International Education of Chinese Language</x:v>
      </x:c>
      <x:c r="G19" s="14" t="str">
        <x:v>degree</x:v>
      </x:c>
      <x:c r="H19" s="14" t="str">
        <x:v>bachelor</x:v>
      </x:c>
      <x:c r="I19" s="14" t="str">
        <x:v>Chinese</x:v>
      </x:c>
      <x:c r="J19" s="14" t="str">
        <x:v>2026 Fall</x:v>
      </x:c>
      <x:c r="K19" s="16" t="n">
        <x:v>45950</x:v>
      </x:c>
      <x:c r="L19" s="16" t="n">
        <x:v>46203</x:v>
      </x:c>
      <x:c r="M19" s="14" t="str">
        <x:v>closed</x:v>
      </x:c>
      <x:c r="N19" s="14" t="str">
        <x:v>program_identity_only</x:v>
      </x:c>
      <x:c r="O19" s="14" t="str">
        <x:f>IF(N19="cycle_ready","周期可发布","仅项目身份")</x:f>
        <x:v>仅项目身份</x:v>
      </x:c>
      <x:c r="P19" s="14" t="str">
        <x:v>The official international undergraduate catalog lists this major.</x:v>
      </x:c>
      <x:c r="Q19" s="14" t="str">
        <x:v>The guide permits applicants to select two program preferences online.</x:v>
      </x:c>
      <x:c r="R19" s="14" t="str">
        <x:v>https://ensie.nankai.edu.cn/info/1089/1167.htm</x:v>
      </x:c>
      <x:c r="S19" s="14" t="str">
        <x:v>https://ensie.nankai.edu.cn/__local/C/AA/9B/C4D2A9703C9C092254029111A2E_3D29FA7B_1E822.pdf</x:v>
      </x:c>
      <x:c r="T19" s="16" t="n">
        <x:v>46229</x:v>
      </x:c>
      <x:c r="U19" s="14" t="str">
        <x:v>root-01.json</x:v>
      </x:c>
    </x:row>
    <x:row r="20">
      <x:c r="A20" s="14" t="n">
        <x:v>17</x:v>
      </x:c>
      <x:c r="B20" s="14" t="str">
        <x:v>天津大学</x:v>
      </x:c>
      <x:c r="C20" s="14" t="str">
        <x:v>Tianjin University</x:v>
      </x:c>
      <x:c r="D20" s="14" t="str">
        <x:v>Tianjin</x:v>
      </x:c>
      <x:c r="E20" s="14" t="str">
        <x:v>一学期汉语研修（春季）</x:v>
      </x:c>
      <x:c r="F20" s="14" t="str">
        <x:v>One-Semester Chinese Language Study (Spring)</x:v>
      </x:c>
      <x:c r="G20" s="14" t="str">
        <x:v>language</x:v>
      </x:c>
      <x:c r="H20" s="14" t="str">
        <x:v>not_applicable</x:v>
      </x:c>
      <x:c r="I20" s="14" t="str">
        <x:v>Chinese</x:v>
      </x:c>
      <x:c r="J20" s="14" t="str">
        <x:v>2027 Spring</x:v>
      </x:c>
      <x:c r="K20" s="16" t="n">
        <x:v>46082</x:v>
      </x:c>
      <x:c r="L20" s="16" t="n">
        <x:v>46326</x:v>
      </x:c>
      <x:c r="M20" s="14" t="str">
        <x:v>open</x:v>
      </x:c>
      <x:c r="N20" s="14" t="str">
        <x:v>cycle_ready</x:v>
      </x:c>
      <x:c r="O20" s="14" t="str">
        <x:f>IF(N20="cycle_ready","周期可发布","仅项目身份")</x:f>
        <x:v>周期可发布</x:v>
      </x:c>
      <x:c r="P20" s="14" t="str">
        <x:v>The scholarship guide recruits international Chinese-language learners for spring study.</x:v>
      </x:c>
      <x:c r="Q20" s="14" t="str">
        <x:v>Applicants submit both scholarship and Tianjin University online applications.</x:v>
      </x:c>
      <x:c r="R20" s="14" t="str">
        <x:v>https://sie.tju.edu.cn/en/jxj/ChineseLanguageTeachers/202602/t20260206_324551.html</x:v>
      </x:c>
      <x:c r="S20" s="14" t="str">
        <x:v>https://sie.tju.edu.cn/en/xwxm/CHINESELANGUAGEPRORAM/</x:v>
      </x:c>
      <x:c r="T20" s="16" t="n">
        <x:v>46229</x:v>
      </x:c>
      <x:c r="U20" s="14" t="str">
        <x:v>root-01.json</x:v>
      </x:c>
    </x:row>
    <x:row r="21">
      <x:c r="A21" s="14" t="n">
        <x:v>18</x:v>
      </x:c>
      <x:c r="B21" s="14" t="str">
        <x:v>大连理工大学</x:v>
      </x:c>
      <x:c r="C21" s="14" t="str">
        <x:v>Dalian University of Technology</x:v>
      </x:c>
      <x:c r="D21" s="14" t="str">
        <x:v>Liaoning</x:v>
      </x:c>
      <x:c r="E21" s="14" t="str">
        <x:v>汉语（商务）本科项目</x:v>
      </x:c>
      <x:c r="F21" s="14" t="str">
        <x:v>Chinese Language (Business) Bachelor Program</x:v>
      </x:c>
      <x:c r="G21" s="14" t="str">
        <x:v>degree</x:v>
      </x:c>
      <x:c r="H21" s="14" t="str">
        <x:v>bachelor</x:v>
      </x:c>
      <x:c r="I21" s="14" t="str">
        <x:v>Chinese</x:v>
      </x:c>
      <x:c r="J21" s="14" t="str">
        <x:v>2027 Fall</x:v>
      </x:c>
      <x:c r="K21" s="16" t="n">
        <x:v>46327</x:v>
      </x:c>
      <x:c r="L21" s="16" t="n">
        <x:v>46568</x:v>
      </x:c>
      <x:c r="M21" s="14" t="str">
        <x:v>future</x:v>
      </x:c>
      <x:c r="N21" s="14" t="str">
        <x:v>cycle_ready</x:v>
      </x:c>
      <x:c r="O21" s="14" t="str">
        <x:f>IF(N21="cycle_ready","周期可发布","仅项目身份")</x:f>
        <x:v>周期可发布</x:v>
      </x:c>
      <x:c r="P21" s="14" t="str">
        <x:v>The official international admissions page identifies this bachelor program.</x:v>
      </x:c>
      <x:c r="Q21" s="14" t="str">
        <x:v>The page directs applicants to DUT's individual online application system.</x:v>
      </x:c>
      <x:c r="R21" s="14" t="str">
        <x:v>https://sie.dlut.edu.cn/info/1179/2481.htm</x:v>
      </x:c>
      <x:c r="S21" s="14" t="str">
        <x:v>https://sie.dlut.edu.cn/English/Admissions/Degree_Programs/Bachelor_Programs1.htm</x:v>
      </x:c>
      <x:c r="T21" s="16" t="n">
        <x:v>46229</x:v>
      </x:c>
      <x:c r="U21" s="14" t="str">
        <x:v>root-01.json</x:v>
      </x:c>
    </x:row>
    <x:row r="22">
      <x:c r="A22" s="14" t="n">
        <x:v>19</x:v>
      </x:c>
      <x:c r="B22" s="14" t="str">
        <x:v>东北师范大学</x:v>
      </x:c>
      <x:c r="C22" s="14" t="str">
        <x:v>Northeast Normal University</x:v>
      </x:c>
      <x:c r="D22" s="14" t="str">
        <x:v>Jilin</x:v>
      </x:c>
      <x:c r="E22" s="14" t="str">
        <x:v>国际学生博士项目</x:v>
      </x:c>
      <x:c r="F22" s="14" t="str">
        <x:v>Doctoral Programs for International Students</x:v>
      </x:c>
      <x:c r="G22" s="14" t="str">
        <x:v>degree</x:v>
      </x:c>
      <x:c r="H22" s="14" t="str">
        <x:v>doctorate</x:v>
      </x:c>
      <x:c r="I22" s="14" t="str">
        <x:v>Chinese/English</x:v>
      </x:c>
      <x:c r="J22" s="14" t="str">
        <x:v>2026 Fall</x:v>
      </x:c>
      <x:c r="K22" s="16"/>
      <x:c r="L22" s="16" t="n">
        <x:v>46195</x:v>
      </x:c>
      <x:c r="M22" s="14" t="str">
        <x:v>closed</x:v>
      </x:c>
      <x:c r="N22" s="14" t="str">
        <x:v>program_identity_only</x:v>
      </x:c>
      <x:c r="O22" s="14" t="str">
        <x:f>IF(N22="cycle_ready","周期可发布","仅项目身份")</x:f>
        <x:v>仅项目身份</x:v>
      </x:c>
      <x:c r="P22" s="14" t="str">
        <x:v>The 2026–2027 doctoral guide requires non-Chinese citizenship.</x:v>
      </x:c>
      <x:c r="Q22" s="14" t="str">
        <x:v>Applicants submit personal materials through NENU's official service system.</x:v>
      </x:c>
      <x:c r="R22" s="14" t="str">
        <x:v>https://iso.nenu.edu.cn/Admission/Doctora_Program.htm</x:v>
      </x:c>
      <x:c r="S22" s="14" t="str">
        <x:v>https://iso.nenu.edu.cn/Admission/Doctora_Program.htm</x:v>
      </x:c>
      <x:c r="T22" s="16" t="n">
        <x:v>46229</x:v>
      </x:c>
      <x:c r="U22" s="14" t="str">
        <x:v>root-01.json</x:v>
      </x:c>
    </x:row>
    <x:row r="23">
      <x:c r="A23" s="14" t="n">
        <x:v>20</x:v>
      </x:c>
      <x:c r="B23" s="14" t="str">
        <x:v>哈尔滨工程大学</x:v>
      </x:c>
      <x:c r="C23" s="14" t="str">
        <x:v>Harbin Engineering University</x:v>
      </x:c>
      <x:c r="D23" s="14" t="str">
        <x:v>Heilongjiang</x:v>
      </x:c>
      <x:c r="E23" s="14" t="str">
        <x:v>人工智能</x:v>
      </x:c>
      <x:c r="F23" s="14" t="str">
        <x:v>Artificial Intelligence</x:v>
      </x:c>
      <x:c r="G23" s="14" t="str">
        <x:v>degree</x:v>
      </x:c>
      <x:c r="H23" s="14" t="str">
        <x:v>bachelor</x:v>
      </x:c>
      <x:c r="I23" s="14" t="str">
        <x:v>Chinese/English</x:v>
      </x:c>
      <x:c r="J23" s="14" t="str">
        <x:v>2026 Fall</x:v>
      </x:c>
      <x:c r="K23" s="16" t="n">
        <x:v>45962</x:v>
      </x:c>
      <x:c r="L23" s="16" t="n">
        <x:v>46157</x:v>
      </x:c>
      <x:c r="M23" s="14" t="str">
        <x:v>closed</x:v>
      </x:c>
      <x:c r="N23" s="14" t="str">
        <x:v>program_identity_only</x:v>
      </x:c>
      <x:c r="O23" s="14" t="str">
        <x:f>IF(N23="cycle_ready","周期可发布","仅项目身份")</x:f>
        <x:v>仅项目身份</x:v>
      </x:c>
      <x:c r="P23" s="14" t="str">
        <x:v>The 2026 international undergraduate guide lists Artificial Intelligence.</x:v>
      </x:c>
      <x:c r="Q23" s="14" t="str">
        <x:v>Applicants register and submit through HEU's official online system.</x:v>
      </x:c>
      <x:c r="R23" s="14" t="str">
        <x:v>https://studyheu.hrbeu.edu.cn/en/info/1026/1323.htm</x:v>
      </x:c>
      <x:c r="S23" s="14" t="str">
        <x:v>https://studyheu.hrbeu.edu.cn/en/info/1026/1323.htm</x:v>
      </x:c>
      <x:c r="T23" s="16" t="n">
        <x:v>46229</x:v>
      </x:c>
      <x:c r="U23" s="14" t="str">
        <x:v>root-01.json</x:v>
      </x:c>
    </x:row>
    <x:row r="24">
      <x:c r="A24" s="14" t="n">
        <x:v>21</x:v>
      </x:c>
      <x:c r="B24" s="14" t="str">
        <x:v>复旦大学</x:v>
      </x:c>
      <x:c r="C24" s="14" t="str">
        <x:v>Fudan University</x:v>
      </x:c>
      <x:c r="D24" s="14" t="str">
        <x:v>Shanghai</x:v>
      </x:c>
      <x:c r="E24" s="14" t="str">
        <x:v>Chinese Economy &amp; Business Program</x:v>
      </x:c>
      <x:c r="F24" s="14" t="str">
        <x:v>Chinese Economy and Business Program</x:v>
      </x:c>
      <x:c r="G24" s="14" t="str">
        <x:v>language</x:v>
      </x:c>
      <x:c r="H24" s="14" t="str">
        <x:v>not_applicable</x:v>
      </x:c>
      <x:c r="I24" s="14" t="str">
        <x:v>Chinese</x:v>
      </x:c>
      <x:c r="J24" s="14" t="str">
        <x:v>not_applicable</x:v>
      </x:c>
      <x:c r="K24" s="16"/>
      <x:c r="L24" s="16"/>
      <x:c r="M24" s="14" t="str">
        <x:v>next_cycle_pending</x:v>
      </x:c>
      <x:c r="N24" s="14" t="str">
        <x:v>program_identity_only</x:v>
      </x:c>
      <x:c r="O24" s="14" t="str">
        <x:f>IF(N24="cycle_ready","周期可发布","仅项目身份")</x:f>
        <x:v>仅项目身份</x:v>
      </x:c>
      <x:c r="P24" s="14" t="str">
        <x:v>Fudan's official international admissions catalog lists this non-degree program.</x:v>
      </x:c>
      <x:c r="Q24" s="14" t="str">
        <x:v>The official program page links applicants to Fudan's application process.</x:v>
      </x:c>
      <x:c r="R24" s="14" t="str">
        <x:v>https://ices.fudan.edu.cn/69/0a/c6658a485642/page.htm</x:v>
      </x:c>
      <x:c r="S24" s="14" t="str">
        <x:v>https://iso.fudan.edu.cn/isoenglish/wonwwegree/list.htm</x:v>
      </x:c>
      <x:c r="T24" s="16" t="n">
        <x:v>46229</x:v>
      </x:c>
      <x:c r="U24" s="14" t="str">
        <x:v>central-south-01.json</x:v>
      </x:c>
    </x:row>
    <x:row r="25">
      <x:c r="A25" s="14" t="n">
        <x:v>22</x:v>
      </x:c>
      <x:c r="B25" s="14" t="str">
        <x:v>同济大学</x:v>
      </x:c>
      <x:c r="C25" s="14" t="str">
        <x:v>Tongji University</x:v>
      </x:c>
      <x:c r="D25" s="14" t="str">
        <x:v>Shanghai</x:v>
      </x:c>
      <x:c r="E25" s="14" t="str">
        <x:v>Architecture (International Class)</x:v>
      </x:c>
      <x:c r="F25" s="14" t="str">
        <x:v>Architecture (International Class)</x:v>
      </x:c>
      <x:c r="G25" s="14" t="str">
        <x:v>degree</x:v>
      </x:c>
      <x:c r="H25" s="14" t="str">
        <x:v>bachelor</x:v>
      </x:c>
      <x:c r="I25" s="14" t="str">
        <x:v>English</x:v>
      </x:c>
      <x:c r="J25" s="14" t="str">
        <x:v>not_applicable</x:v>
      </x:c>
      <x:c r="K25" s="16"/>
      <x:c r="L25" s="16"/>
      <x:c r="M25" s="14" t="str">
        <x:v>next_cycle_pending</x:v>
      </x:c>
      <x:c r="N25" s="14" t="str">
        <x:v>program_identity_only</x:v>
      </x:c>
      <x:c r="O25" s="14" t="str">
        <x:f>IF(N25="cycle_ready","周期可发布","仅项目身份")</x:f>
        <x:v>仅项目身份</x:v>
      </x:c>
      <x:c r="P25" s="14" t="str">
        <x:v>Tongji's official international admissions catalog lists this English-taught degree.</x:v>
      </x:c>
      <x:c r="Q25" s="14" t="str">
        <x:v>The official guide directs applicants to Tongji's online application system.</x:v>
      </x:c>
      <x:c r="R25" s="14" t="str">
        <x:v>https://study.tongji.edu.cn/en/ADMISSION/Undergraduate_Programs/Degree_programs_English_taught.htm</x:v>
      </x:c>
      <x:c r="S25" s="14" t="str">
        <x:v>https://study.tongji.edu.cn/en/info/1075/1231.htm</x:v>
      </x:c>
      <x:c r="T25" s="16" t="n">
        <x:v>46229</x:v>
      </x:c>
      <x:c r="U25" s="14" t="str">
        <x:v>central-south-01.json</x:v>
      </x:c>
    </x:row>
    <x:row r="26">
      <x:c r="A26" s="14" t="n">
        <x:v>23</x:v>
      </x:c>
      <x:c r="B26" s="14" t="str">
        <x:v>华东师范大学</x:v>
      </x:c>
      <x:c r="C26" s="14" t="str">
        <x:v>East China Normal University</x:v>
      </x:c>
      <x:c r="D26" s="14" t="str">
        <x:v>Shanghai</x:v>
      </x:c>
      <x:c r="E26" s="14" t="str">
        <x:v>Business Chinese Language Program</x:v>
      </x:c>
      <x:c r="F26" s="14" t="str">
        <x:v>Business Chinese Language Program</x:v>
      </x:c>
      <x:c r="G26" s="14" t="str">
        <x:v>language</x:v>
      </x:c>
      <x:c r="H26" s="14" t="str">
        <x:v>not_applicable</x:v>
      </x:c>
      <x:c r="I26" s="14" t="str">
        <x:v>Chinese</x:v>
      </x:c>
      <x:c r="J26" s="14" t="str">
        <x:v>2026 Autumn</x:v>
      </x:c>
      <x:c r="K26" s="16"/>
      <x:c r="L26" s="16" t="n">
        <x:v>46234</x:v>
      </x:c>
      <x:c r="M26" s="14" t="str">
        <x:v>open</x:v>
      </x:c>
      <x:c r="N26" s="14" t="str">
        <x:v>cycle_ready</x:v>
      </x:c>
      <x:c r="O26" s="14" t="str">
        <x:f>IF(N26="cycle_ready","周期可发布","仅项目身份")</x:f>
        <x:v>周期可发布</x:v>
      </x:c>
      <x:c r="P26" s="14" t="str">
        <x:v>ECNU publishes the program on its official international student admissions site.</x:v>
      </x:c>
      <x:c r="Q26" s="14" t="str">
        <x:v>The official page directs applicants to ECNU's online application system.</x:v>
      </x:c>
      <x:c r="R26" s="14" t="str">
        <x:v>https://lxs.ecnu.edu.cn/en_admission_chinese_language_programs_business_chinese_language_program/list.htm</x:v>
      </x:c>
      <x:c r="S26" s="14" t="str">
        <x:v>https://lxs.ecnu.edu.cn/en/admission/</x:v>
      </x:c>
      <x:c r="T26" s="16" t="n">
        <x:v>46229</x:v>
      </x:c>
      <x:c r="U26" s="14" t="str">
        <x:v>central-south-01.json</x:v>
      </x:c>
    </x:row>
    <x:row r="27">
      <x:c r="A27" s="14" t="n">
        <x:v>24</x:v>
      </x:c>
      <x:c r="B27" s="14" t="str">
        <x:v>上海大学</x:v>
      </x:c>
      <x:c r="C27" s="14" t="str">
        <x:v>Shanghai University</x:v>
      </x:c>
      <x:c r="D27" s="14" t="str">
        <x:v>Shanghai</x:v>
      </x:c>
      <x:c r="E27" s="14" t="str">
        <x:v>2026年秋季上海大学商务汉语项目（一学期）</x:v>
      </x:c>
      <x:c r="F27" s="14" t="str">
        <x:v>One-Semester Business Chinese Program</x:v>
      </x:c>
      <x:c r="G27" s="14" t="str">
        <x:v>language</x:v>
      </x:c>
      <x:c r="H27" s="14" t="str">
        <x:v>not_applicable</x:v>
      </x:c>
      <x:c r="I27" s="14" t="str">
        <x:v>Chinese</x:v>
      </x:c>
      <x:c r="J27" s="14" t="str">
        <x:v>not_applicable</x:v>
      </x:c>
      <x:c r="K27" s="16"/>
      <x:c r="L27" s="16"/>
      <x:c r="M27" s="14" t="str">
        <x:v>next_cycle_pending</x:v>
      </x:c>
      <x:c r="N27" s="14" t="str">
        <x:v>program_identity_only</x:v>
      </x:c>
      <x:c r="O27" s="14" t="str">
        <x:f>IF(N27="cycle_ready","周期可发布","仅项目身份")</x:f>
        <x:v>仅项目身份</x:v>
      </x:c>
      <x:c r="P27" s="14" t="str">
        <x:v>The official CIE prospectus is for international Chinese-language learners.</x:v>
      </x:c>
      <x:c r="Q27" s="14" t="str">
        <x:v>The official prospectus instructs applicants to use SHU's online system.</x:v>
      </x:c>
      <x:c r="R27" s="14" t="str">
        <x:v>https://apply.shu.edu.cn/upload/shangda/3/a/3/2026%E5%B9%B4%E7%A7%8B%E5%AD%A3%E4%B8%8A%E6%B5%B7%E5%A4%A7%E5%AD%A6%E5%95%86%E5%8A%A1%E6%B1%89%E8%AF%AD%E9%A1%B9%E7%9B%AE%EF%BC%88%E4%B8%80%E5%AD%A6%E6%9C%9F%EF%BC%89%E6%8B%9B%E7%94%9F%E7%AE%80%E7%AB%A0.pdf</x:v>
      </x:c>
      <x:c r="S27" s="14" t="str">
        <x:v>https://apply.shu.edu.cn/news/index?category_id=2&amp;language=en</x:v>
      </x:c>
      <x:c r="T27" s="16" t="n">
        <x:v>46229</x:v>
      </x:c>
      <x:c r="U27" s="14" t="str">
        <x:v>central-south-01.json</x:v>
      </x:c>
    </x:row>
    <x:row r="28">
      <x:c r="A28" s="14" t="n">
        <x:v>25</x:v>
      </x:c>
      <x:c r="B28" s="14" t="str">
        <x:v>南京大学</x:v>
      </x:c>
      <x:c r="C28" s="14" t="str">
        <x:v>Nanjing University</x:v>
      </x:c>
      <x:c r="D28" s="14" t="str">
        <x:v>Jiangsu</x:v>
      </x:c>
      <x:c r="E28" s="14" t="str">
        <x:v>国际关系：中国与全球事务</x:v>
      </x:c>
      <x:c r="F28" s="14" t="str">
        <x:v>Master of International Relations: China and Global Affairs</x:v>
      </x:c>
      <x:c r="G28" s="14" t="str">
        <x:v>degree</x:v>
      </x:c>
      <x:c r="H28" s="14" t="str">
        <x:v>master</x:v>
      </x:c>
      <x:c r="I28" s="14" t="str">
        <x:v>English</x:v>
      </x:c>
      <x:c r="J28" s="14" t="str">
        <x:v>not_applicable</x:v>
      </x:c>
      <x:c r="K28" s="16"/>
      <x:c r="L28" s="16"/>
      <x:c r="M28" s="14" t="str">
        <x:v>next_cycle_pending</x:v>
      </x:c>
      <x:c r="N28" s="14" t="str">
        <x:v>program_identity_only</x:v>
      </x:c>
      <x:c r="O28" s="14" t="str">
        <x:f>IF(N28="cycle_ready","周期可发布","仅项目身份")</x:f>
        <x:v>仅项目身份</x:v>
      </x:c>
      <x:c r="P28" s="14" t="str">
        <x:v>The official page describes a master's program tailored for international students.</x:v>
      </x:c>
      <x:c r="Q28" s="14" t="str">
        <x:v>The page links directly to NJU's self-sponsored application instructions.</x:v>
      </x:c>
      <x:c r="R28" s="14" t="str">
        <x:v>https://hwxy.nju.edu.cn/English/StudyatNJU/Admissions/DegreeProgramsTaughtinEnglish/20250226/i308917.html</x:v>
      </x:c>
      <x:c r="S28" s="14" t="str">
        <x:v>https://hwxy.nju.edu.cn/English/StudyatNJU/Admissions/DegreeProgramsTaughtinEnglish/index.html</x:v>
      </x:c>
      <x:c r="T28" s="16" t="n">
        <x:v>46229</x:v>
      </x:c>
      <x:c r="U28" s="14" t="str">
        <x:v>central-south-02.json</x:v>
      </x:c>
    </x:row>
    <x:row r="29">
      <x:c r="A29" s="14" t="n">
        <x:v>26</x:v>
      </x:c>
      <x:c r="B29" s="14" t="str">
        <x:v>苏州大学</x:v>
      </x:c>
      <x:c r="C29" s="14" t="str">
        <x:v>Soochow University</x:v>
      </x:c>
      <x:c r="D29" s="14" t="str">
        <x:v>Jiangsu</x:v>
      </x:c>
      <x:c r="E29" s="14" t="str">
        <x:v>国际中文教师奖学金一学期研修生：中医、太极文化</x:v>
      </x:c>
      <x:c r="F29" s="14" t="str">
        <x:v>International Chinese Language Teachers Scholarship — One-Semester Traditional Chinese Medicine and Taiji Culture</x:v>
      </x:c>
      <x:c r="G29" s="14" t="str">
        <x:v>language</x:v>
      </x:c>
      <x:c r="H29" s="14" t="str">
        <x:v>not_applicable</x:v>
      </x:c>
      <x:c r="I29" s="14" t="str">
        <x:v>Chinese</x:v>
      </x:c>
      <x:c r="J29" s="14" t="str">
        <x:v>2027 Spring</x:v>
      </x:c>
      <x:c r="K29" s="16" t="n">
        <x:v>46082</x:v>
      </x:c>
      <x:c r="L29" s="16" t="n">
        <x:v>46326</x:v>
      </x:c>
      <x:c r="M29" s="14" t="str">
        <x:v>open</x:v>
      </x:c>
      <x:c r="N29" s="14" t="str">
        <x:v>cycle_ready</x:v>
      </x:c>
      <x:c r="O29" s="14" t="str">
        <x:f>IF(N29="cycle_ready","周期可发布","仅项目身份")</x:f>
        <x:v>周期可发布</x:v>
      </x:c>
      <x:c r="P29" s="14" t="str">
        <x:v>The official guide requires applicants to be non-Chinese citizens.</x:v>
      </x:c>
      <x:c r="Q29" s="14" t="str">
        <x:v>Applicants register and upload materials through the official scholarship portal.</x:v>
      </x:c>
      <x:c r="R29" s="14" t="str">
        <x:v>https://oversea.suda.edu.cn/oversea_en/bb/fd/c11345a441341/page.htm</x:v>
      </x:c>
      <x:c r="S29" s="14" t="str">
        <x:v>https://oversea.suda.edu.cn/oversea_en/11341/list.htm</x:v>
      </x:c>
      <x:c r="T29" s="16" t="n">
        <x:v>46229</x:v>
      </x:c>
      <x:c r="U29" s="14" t="str">
        <x:v>central-south-01.json</x:v>
      </x:c>
    </x:row>
    <x:row r="30">
      <x:c r="A30" s="14" t="n">
        <x:v>27</x:v>
      </x:c>
      <x:c r="B30" s="14" t="str">
        <x:v>东南大学</x:v>
      </x:c>
      <x:c r="C30" s="14" t="str">
        <x:v>Southeast University</x:v>
      </x:c>
      <x:c r="D30" s="14" t="str">
        <x:v>Jiangsu</x:v>
      </x:c>
      <x:c r="E30" s="14" t="str">
        <x:v>临床医学（MBBS）</x:v>
      </x:c>
      <x:c r="F30" s="14" t="str">
        <x:v>Bachelor of Medicine and Bachelor of Surgery (MBBS)</x:v>
      </x:c>
      <x:c r="G30" s="14" t="str">
        <x:v>degree</x:v>
      </x:c>
      <x:c r="H30" s="14" t="str">
        <x:v>bachelor</x:v>
      </x:c>
      <x:c r="I30" s="14" t="str">
        <x:v>English</x:v>
      </x:c>
      <x:c r="J30" s="14" t="str">
        <x:v>not_applicable</x:v>
      </x:c>
      <x:c r="K30" s="16"/>
      <x:c r="L30" s="16"/>
      <x:c r="M30" s="14" t="str">
        <x:v>next_cycle_pending</x:v>
      </x:c>
      <x:c r="N30" s="14" t="str">
        <x:v>program_identity_only</x:v>
      </x:c>
      <x:c r="O30" s="14" t="str">
        <x:f>IF(N30="cycle_ready","周期可发布","仅项目身份")</x:f>
        <x:v>仅项目身份</x:v>
      </x:c>
      <x:c r="P30" s="14" t="str">
        <x:v>SEU's official page describes an English medical degree enrolling international students.</x:v>
      </x:c>
      <x:c r="Q30" s="14" t="str">
        <x:v>The CIS admissions site provides a direct online application system.</x:v>
      </x:c>
      <x:c r="R30" s="14" t="str">
        <x:v>https://cis.seu.edu.cn/hwenglish/2008/0507/c2855a30509/page.htm</x:v>
      </x:c>
      <x:c r="S30" s="14" t="str">
        <x:v>https://cis.seu.edu.cn/hwenglish/2855/list.htm</x:v>
      </x:c>
      <x:c r="T30" s="16" t="n">
        <x:v>46229</x:v>
      </x:c>
      <x:c r="U30" s="14" t="str">
        <x:v>central-south-02.json</x:v>
      </x:c>
    </x:row>
    <x:row r="31">
      <x:c r="A31" s="14" t="n">
        <x:v>28</x:v>
      </x:c>
      <x:c r="B31" s="14" t="str">
        <x:v>南京师范大学</x:v>
      </x:c>
      <x:c r="C31" s="14" t="str">
        <x:v>Nanjing Normal University</x:v>
      </x:c>
      <x:c r="D31" s="14" t="str">
        <x:v>Jiangsu</x:v>
      </x:c>
      <x:c r="E31" s="14" t="str">
        <x:v>人文地理学（英文授课硕士）</x:v>
      </x:c>
      <x:c r="F31" s="14" t="str">
        <x:v>Master's Program in Human Geography</x:v>
      </x:c>
      <x:c r="G31" s="14" t="str">
        <x:v>degree</x:v>
      </x:c>
      <x:c r="H31" s="14" t="str">
        <x:v>master</x:v>
      </x:c>
      <x:c r="I31" s="14" t="str">
        <x:v>English</x:v>
      </x:c>
      <x:c r="J31" s="14" t="str">
        <x:v>not_applicable</x:v>
      </x:c>
      <x:c r="K31" s="16"/>
      <x:c r="L31" s="16"/>
      <x:c r="M31" s="14" t="str">
        <x:v>next_cycle_pending</x:v>
      </x:c>
      <x:c r="N31" s="14" t="str">
        <x:v>program_identity_only</x:v>
      </x:c>
      <x:c r="O31" s="14" t="str">
        <x:f>IF(N31="cycle_ready","周期可发布","仅项目身份")</x:f>
        <x:v>仅项目身份</x:v>
      </x:c>
      <x:c r="P31" s="14" t="str">
        <x:v>The official 2026 guide lists Human Geography among English-taught master's programs.</x:v>
      </x:c>
      <x:c r="Q31" s="14" t="str">
        <x:v>The guide directs applicants to NJNU's online international student system.</x:v>
      </x:c>
      <x:c r="R31" s="14" t="str">
        <x:v>https://gjc.njnu.edu.cn/info/1035/6324.htm</x:v>
      </x:c>
      <x:c r="S31" s="14" t="str">
        <x:v>https://en.njnu.edu.cn/admissions/programs</x:v>
      </x:c>
      <x:c r="T31" s="16" t="n">
        <x:v>46229</x:v>
      </x:c>
      <x:c r="U31" s="14" t="str">
        <x:v>central-south-02.json</x:v>
      </x:c>
    </x:row>
    <x:row r="32">
      <x:c r="A32" s="14" t="n">
        <x:v>29</x:v>
      </x:c>
      <x:c r="B32" s="14" t="str">
        <x:v>厦门大学</x:v>
      </x:c>
      <x:c r="C32" s="14" t="str">
        <x:v>Xiamen University</x:v>
      </x:c>
      <x:c r="D32" s="14" t="str">
        <x:v>Fujian</x:v>
      </x:c>
      <x:c r="E32" s="14" t="str">
        <x:v>Digital Media Art</x:v>
      </x:c>
      <x:c r="F32" s="14" t="str">
        <x:v>Digital Media Art</x:v>
      </x:c>
      <x:c r="G32" s="14" t="str">
        <x:v>degree</x:v>
      </x:c>
      <x:c r="H32" s="14" t="str">
        <x:v>bachelor</x:v>
      </x:c>
      <x:c r="I32" s="14" t="str">
        <x:v>English</x:v>
      </x:c>
      <x:c r="J32" s="14" t="str">
        <x:v>not_applicable</x:v>
      </x:c>
      <x:c r="K32" s="16"/>
      <x:c r="L32" s="16"/>
      <x:c r="M32" s="14" t="str">
        <x:v>next_cycle_pending</x:v>
      </x:c>
      <x:c r="N32" s="14" t="str">
        <x:v>program_identity_only</x:v>
      </x:c>
      <x:c r="O32" s="14" t="str">
        <x:f>IF(N32="cycle_ready","周期可发布","仅项目身份")</x:f>
        <x:v>仅项目身份</x:v>
      </x:c>
      <x:c r="P32" s="14" t="str">
        <x:v>The official catalog is specifically for international undergraduate applicants.</x:v>
      </x:c>
      <x:c r="Q32" s="14" t="str">
        <x:v>XMU's international admissions guide links its online application system.</x:v>
      </x:c>
      <x:c r="R32" s="14" t="str">
        <x:v>https://admissions.xmu.edu.cn/Programs/English_Medium_Bachelor_s.htm</x:v>
      </x:c>
      <x:c r="S32" s="14" t="str">
        <x:v>https://admissions.xmu.edu.cn/Admissions/Undergraduate_Students.htm</x:v>
      </x:c>
      <x:c r="T32" s="16" t="n">
        <x:v>46229</x:v>
      </x:c>
      <x:c r="U32" s="14" t="str">
        <x:v>west-coast-01.json</x:v>
      </x:c>
    </x:row>
    <x:row r="33">
      <x:c r="A33" s="14" t="n">
        <x:v>30</x:v>
      </x:c>
      <x:c r="B33" s="14" t="str">
        <x:v>武汉大学</x:v>
      </x:c>
      <x:c r="C33" s="14" t="str">
        <x:v>Wuhan University</x:v>
      </x:c>
      <x:c r="D33" s="14" t="str">
        <x:v>Hubei</x:v>
      </x:c>
      <x:c r="E33" s="14" t="str">
        <x:v>临床医学（MBBS）</x:v>
      </x:c>
      <x:c r="F33" s="14" t="str">
        <x:v>Bachelor of Medicine and Bachelor of Surgery (MBBS)</x:v>
      </x:c>
      <x:c r="G33" s="14" t="str">
        <x:v>degree</x:v>
      </x:c>
      <x:c r="H33" s="14" t="str">
        <x:v>bachelor</x:v>
      </x:c>
      <x:c r="I33" s="14" t="str">
        <x:v>English</x:v>
      </x:c>
      <x:c r="J33" s="14" t="str">
        <x:v>not_applicable</x:v>
      </x:c>
      <x:c r="K33" s="16"/>
      <x:c r="L33" s="16"/>
      <x:c r="M33" s="14" t="str">
        <x:v>next_cycle_pending</x:v>
      </x:c>
      <x:c r="N33" s="14" t="str">
        <x:v>program_identity_only</x:v>
      </x:c>
      <x:c r="O33" s="14" t="str">
        <x:f>IF(N33="cycle_ready","周期可发布","仅项目身份")</x:f>
        <x:v>仅项目身份</x:v>
      </x:c>
      <x:c r="P33" s="14" t="str">
        <x:v>The official 2026 attachment lists MBBS for international applicants.</x:v>
      </x:c>
      <x:c r="Q33" s="14" t="str">
        <x:v>The official guide directs applicants to Wuhan University's online system.</x:v>
      </x:c>
      <x:c r="R33" s="14" t="str">
        <x:v>https://admission.whu.edu.cn/info/1121/5802.htm</x:v>
      </x:c>
      <x:c r="S33" s="14" t="str">
        <x:v>https://admission.whu.edu.cn/system/_content/download.jsp?urltype=news.DownloadAttachUrl&amp;owner=2063127468&amp;wbfileid=D848CBDEB5AC81288857A2C4E395AB5C</x:v>
      </x:c>
      <x:c r="T33" s="16" t="n">
        <x:v>46229</x:v>
      </x:c>
      <x:c r="U33" s="14" t="str">
        <x:v>central-south-02.json</x:v>
      </x:c>
    </x:row>
    <x:row r="34">
      <x:c r="A34" s="14" t="n">
        <x:v>31</x:v>
      </x:c>
      <x:c r="B34" s="14" t="str">
        <x:v>华中科技大学</x:v>
      </x:c>
      <x:c r="C34" s="14" t="str">
        <x:v>Huazhong University of Science and Technology</x:v>
      </x:c>
      <x:c r="D34" s="14" t="str">
        <x:v>Hubei</x:v>
      </x:c>
      <x:c r="E34" s="14" t="str">
        <x:v>汉语进修项目</x:v>
      </x:c>
      <x:c r="F34" s="14" t="str">
        <x:v>Chinese Language Program</x:v>
      </x:c>
      <x:c r="G34" s="14" t="str">
        <x:v>language</x:v>
      </x:c>
      <x:c r="H34" s="14" t="str">
        <x:v>not_applicable</x:v>
      </x:c>
      <x:c r="I34" s="14" t="str">
        <x:v>Chinese</x:v>
      </x:c>
      <x:c r="J34" s="14" t="str">
        <x:v>not_applicable</x:v>
      </x:c>
      <x:c r="K34" s="16"/>
      <x:c r="L34" s="16"/>
      <x:c r="M34" s="14" t="str">
        <x:v>next_cycle_pending</x:v>
      </x:c>
      <x:c r="N34" s="14" t="str">
        <x:v>program_identity_only</x:v>
      </x:c>
      <x:c r="O34" s="14" t="str">
        <x:f>IF(N34="cycle_ready","周期可发布","仅项目身份")</x:f>
        <x:v>仅项目身份</x:v>
      </x:c>
      <x:c r="P34" s="14" t="str">
        <x:v>HUST publishes this program in its official international student admissions section.</x:v>
      </x:c>
      <x:c r="Q34" s="14" t="str">
        <x:v>Only individual applications submitted through HUST's online system are reviewed.</x:v>
      </x:c>
      <x:c r="R34" s="14" t="str">
        <x:v>https://iso.hust.edu.cn/info/1194/4644.htm</x:v>
      </x:c>
      <x:c r="S34" s="14" t="str">
        <x:v>https://iso.hust.edu.cn/</x:v>
      </x:c>
      <x:c r="T34" s="16" t="n">
        <x:v>46229</x:v>
      </x:c>
      <x:c r="U34" s="14" t="str">
        <x:v>central-south-02.json</x:v>
      </x:c>
    </x:row>
    <x:row r="35">
      <x:c r="A35" s="14" t="n">
        <x:v>32</x:v>
      </x:c>
      <x:c r="B35" s="14" t="str">
        <x:v>中山大学</x:v>
      </x:c>
      <x:c r="C35" s="14" t="str">
        <x:v>Sun Yat-sen University</x:v>
      </x:c>
      <x:c r="D35" s="14" t="str">
        <x:v>Guangdong</x:v>
      </x:c>
      <x:c r="E35" s="14" t="str">
        <x:v>中山大学2026年国际学生预科项目（一学年制）</x:v>
      </x:c>
      <x:c r="F35" s="14" t="str">
        <x:v>2026 One-Academic-Year Pre-university Program</x:v>
      </x:c>
      <x:c r="G35" s="14" t="str">
        <x:v>foundation</x:v>
      </x:c>
      <x:c r="H35" s="14" t="str">
        <x:v>not_applicable</x:v>
      </x:c>
      <x:c r="I35" s="14" t="str">
        <x:v>Chinese</x:v>
      </x:c>
      <x:c r="J35" s="14" t="str">
        <x:v>September 2026</x:v>
      </x:c>
      <x:c r="K35" s="16"/>
      <x:c r="L35" s="16" t="n">
        <x:v>46234</x:v>
      </x:c>
      <x:c r="M35" s="14" t="str">
        <x:v>open</x:v>
      </x:c>
      <x:c r="N35" s="14" t="str">
        <x:v>cycle_ready</x:v>
      </x:c>
      <x:c r="O35" s="14" t="str">
        <x:f>IF(N35="cycle_ready","周期可发布","仅项目身份")</x:f>
        <x:v>周期可发布</x:v>
      </x:c>
      <x:c r="P35" s="14" t="str">
        <x:v>The official guide requires applicants to be non-Chinese citizens.</x:v>
      </x:c>
      <x:c r="Q35" s="14" t="str">
        <x:v>Applicants submit directly through SYSU's international online application system.</x:v>
      </x:c>
      <x:c r="R35" s="14" t="str">
        <x:v>https://iso.sysu.edu.cn/en/application/nondegree/1421644.htm</x:v>
      </x:c>
      <x:c r="S35" s="14" t="str">
        <x:v>https://iso.sysu.edu.cn/en/application/guide/index.htm</x:v>
      </x:c>
      <x:c r="T35" s="16" t="n">
        <x:v>46229</x:v>
      </x:c>
      <x:c r="U35" s="14" t="str">
        <x:v>west-coast-01.json</x:v>
      </x:c>
    </x:row>
    <x:row r="36">
      <x:c r="A36" s="14" t="n">
        <x:v>33</x:v>
      </x:c>
      <x:c r="B36" s="14" t="str">
        <x:v>四川大学</x:v>
      </x:c>
      <x:c r="C36" s="14" t="str">
        <x:v>Sichuan University</x:v>
      </x:c>
      <x:c r="D36" s="14" t="str">
        <x:v>Sichuan</x:v>
      </x:c>
      <x:c r="E36" s="14" t="str">
        <x:v>Chinese Language Program</x:v>
      </x:c>
      <x:c r="F36" s="14" t="str">
        <x:v>Chinese Language Program</x:v>
      </x:c>
      <x:c r="G36" s="14" t="str">
        <x:v>language</x:v>
      </x:c>
      <x:c r="H36" s="14" t="str">
        <x:v>not_applicable</x:v>
      </x:c>
      <x:c r="I36" s="14" t="str">
        <x:v>Chinese</x:v>
      </x:c>
      <x:c r="J36" s="14" t="str">
        <x:v>not_applicable</x:v>
      </x:c>
      <x:c r="K36" s="16"/>
      <x:c r="L36" s="16"/>
      <x:c r="M36" s="14" t="str">
        <x:v>next_cycle_pending</x:v>
      </x:c>
      <x:c r="N36" s="14" t="str">
        <x:v>program_identity_only</x:v>
      </x:c>
      <x:c r="O36" s="14" t="str">
        <x:f>IF(N36="cycle_ready","周期可发布","仅项目身份")</x:f>
        <x:v>仅项目身份</x:v>
      </x:c>
      <x:c r="P36" s="14" t="str">
        <x:v>The official eligibility page states applicants must be foreign nationals.</x:v>
      </x:c>
      <x:c r="Q36" s="14" t="str">
        <x:v>Applicants submit through SCU's international online application system.</x:v>
      </x:c>
      <x:c r="R36" s="14" t="str">
        <x:v>https://global.scu.edu.cn/oso/article/index/1112</x:v>
      </x:c>
      <x:c r="S36" s="14" t="str">
        <x:v>https://global.scu.edu.cn/oso/article/index/15</x:v>
      </x:c>
      <x:c r="T36" s="16" t="n">
        <x:v>46229</x:v>
      </x:c>
      <x:c r="U36" s="14" t="str">
        <x:v>west-coast-01.json</x:v>
      </x:c>
    </x:row>
    <x:row r="37">
      <x:c r="A37" s="14" t="n">
        <x:v>34</x:v>
      </x:c>
      <x:c r="B37" s="14" t="str">
        <x:v>重庆大学</x:v>
      </x:c>
      <x:c r="C37" s="14" t="str">
        <x:v>Chongqing University</x:v>
      </x:c>
      <x:c r="D37" s="14" t="str">
        <x:v>Chongqing</x:v>
      </x:c>
      <x:c r="E37" s="14" t="str">
        <x:v>Civil Engineering</x:v>
      </x:c>
      <x:c r="F37" s="14" t="str">
        <x:v>Civil Engineering</x:v>
      </x:c>
      <x:c r="G37" s="14" t="str">
        <x:v>degree</x:v>
      </x:c>
      <x:c r="H37" s="14" t="str">
        <x:v>bachelor</x:v>
      </x:c>
      <x:c r="I37" s="14" t="str">
        <x:v>English</x:v>
      </x:c>
      <x:c r="J37" s="14" t="str">
        <x:v>not_applicable</x:v>
      </x:c>
      <x:c r="K37" s="16"/>
      <x:c r="L37" s="16"/>
      <x:c r="M37" s="14" t="str">
        <x:v>next_cycle_pending</x:v>
      </x:c>
      <x:c r="N37" s="14" t="str">
        <x:v>program_identity_only</x:v>
      </x:c>
      <x:c r="O37" s="14" t="str">
        <x:f>IF(N37="cycle_ready","周期可发布","仅项目身份")</x:f>
        <x:v>仅项目身份</x:v>
      </x:c>
      <x:c r="P37" s="14" t="str">
        <x:v>CQU lists this English-taught major in its official international-student fee table.</x:v>
      </x:c>
      <x:c r="Q37" s="14" t="str">
        <x:v>The official guide directs applicants to CQU's online application system.</x:v>
      </x:c>
      <x:c r="R37" s="14" t="str">
        <x:v>https://study.cqu.edu.cn/HOME/ADMISSION/Overview/Tuition_and_Accommodation_Fees.htm</x:v>
      </x:c>
      <x:c r="S37" s="14" t="str">
        <x:v>https://study.cqu.edu.cn/info/1887/2789.htm</x:v>
      </x:c>
      <x:c r="T37" s="16" t="n">
        <x:v>46229</x:v>
      </x:c>
      <x:c r="U37" s="14" t="str">
        <x:v>west-coast-01.json</x:v>
      </x:c>
    </x:row>
    <x:row r="38">
      <x:c r="A38" s="14" t="n">
        <x:v>35</x:v>
      </x:c>
      <x:c r="B38" s="14" t="str">
        <x:v>电子科技大学</x:v>
      </x:c>
      <x:c r="C38" s="14" t="str">
        <x:v>University of Electronic Science and Technology of China</x:v>
      </x:c>
      <x:c r="D38" s="14" t="str">
        <x:v>Sichuan</x:v>
      </x:c>
      <x:c r="E38" s="14" t="str">
        <x:v>Master Program (for International Students) in Control Science and Engineering</x:v>
      </x:c>
      <x:c r="F38" s="14" t="str">
        <x:v>Control Science and Engineering</x:v>
      </x:c>
      <x:c r="G38" s="14" t="str">
        <x:v>degree</x:v>
      </x:c>
      <x:c r="H38" s="14" t="str">
        <x:v>master</x:v>
      </x:c>
      <x:c r="I38" s="14" t="str">
        <x:v>source_language</x:v>
      </x:c>
      <x:c r="J38" s="14" t="str">
        <x:v>not_applicable</x:v>
      </x:c>
      <x:c r="K38" s="16"/>
      <x:c r="L38" s="16"/>
      <x:c r="M38" s="14" t="str">
        <x:v>next_cycle_pending</x:v>
      </x:c>
      <x:c r="N38" s="14" t="str">
        <x:v>program_identity_only</x:v>
      </x:c>
      <x:c r="O38" s="14" t="str">
        <x:f>IF(N38="cycle_ready","周期可发布","仅项目身份")</x:f>
        <x:v>仅项目身份</x:v>
      </x:c>
      <x:c r="P38" s="14" t="str">
        <x:v>The official curriculum explicitly identifies this as an international-student master's program.</x:v>
      </x:c>
      <x:c r="Q38" s="14" t="str">
        <x:v>The 2026 brochure directs applicants to UESTC's online admission system.</x:v>
      </x:c>
      <x:c r="R38" s="14" t="str">
        <x:v>https://en.uestc.edu.cn/__local/9/48/E8/A0BE120392BFB4B41EF1D7F02AD_DAFEA47E_100EFA.pdf</x:v>
      </x:c>
      <x:c r="S38" s="14" t="str">
        <x:v>https://en.uestc.edu.cn/UESTC_Admission_Brochure-EN.pdf</x:v>
      </x:c>
      <x:c r="T38" s="16" t="n">
        <x:v>46229</x:v>
      </x:c>
      <x:c r="U38" s="14" t="str">
        <x:v>west-coast-01.json</x:v>
      </x:c>
    </x:row>
    <x:row r="39">
      <x:c r="A39" s="14" t="n">
        <x:v>36</x:v>
      </x:c>
      <x:c r="B39" s="14" t="str">
        <x:v>西安交通大学</x:v>
      </x:c>
      <x:c r="C39" s="14" t="str">
        <x:v>Xi'an Jiaotong University</x:v>
      </x:c>
      <x:c r="D39" s="14" t="str">
        <x:v>Shaanxi</x:v>
      </x:c>
      <x:c r="E39" s="14" t="str">
        <x:v>Electrical Engineering &amp; Automation</x:v>
      </x:c>
      <x:c r="F39" s="14" t="str">
        <x:v>Electrical Engineering and Automation</x:v>
      </x:c>
      <x:c r="G39" s="14" t="str">
        <x:v>degree</x:v>
      </x:c>
      <x:c r="H39" s="14" t="str">
        <x:v>bachelor</x:v>
      </x:c>
      <x:c r="I39" s="14" t="str">
        <x:v>English</x:v>
      </x:c>
      <x:c r="J39" s="14" t="str">
        <x:v>not_applicable</x:v>
      </x:c>
      <x:c r="K39" s="16"/>
      <x:c r="L39" s="16"/>
      <x:c r="M39" s="14" t="str">
        <x:v>next_cycle_pending</x:v>
      </x:c>
      <x:c r="N39" s="14" t="str">
        <x:v>program_identity_only</x:v>
      </x:c>
      <x:c r="O39" s="14" t="str">
        <x:f>IF(N39="cycle_ready","周期可发布","仅项目身份")</x:f>
        <x:v>仅项目身份</x:v>
      </x:c>
      <x:c r="P39" s="14" t="str">
        <x:v>The official catalog lists this English-taught program for international undergraduates.</x:v>
      </x:c>
      <x:c r="Q39" s="14" t="str">
        <x:v>Applicants submit directly through XJTU's international online application system.</x:v>
      </x:c>
      <x:c r="R39" s="14" t="str">
        <x:v>https://sie.xjtu.edu.cn/en/Intl.pdf</x:v>
      </x:c>
      <x:c r="S39" s="14" t="str">
        <x:v>https://sie.xjtu.edu.cn/en/Programs/Degree_Program/Bachelor_Program.htm</x:v>
      </x:c>
      <x:c r="T39" s="16" t="n">
        <x:v>46229</x:v>
      </x:c>
      <x:c r="U39" s="14" t="str">
        <x:v>west-coast-02.json</x:v>
      </x:c>
    </x:row>
    <x:row r="40">
      <x:c r="A40" s="14" t="n">
        <x:v>37</x:v>
      </x:c>
      <x:c r="B40" s="14" t="str">
        <x:v>西北工业大学</x:v>
      </x:c>
      <x:c r="C40" s="14" t="str">
        <x:v>Northwestern Polytechnical University</x:v>
      </x:c>
      <x:c r="D40" s="14" t="str">
        <x:v>Shaanxi</x:v>
      </x:c>
      <x:c r="E40" s="14" t="str">
        <x:v>Aerospace Engineering</x:v>
      </x:c>
      <x:c r="F40" s="14" t="str">
        <x:v>Aerospace Engineering</x:v>
      </x:c>
      <x:c r="G40" s="14" t="str">
        <x:v>degree</x:v>
      </x:c>
      <x:c r="H40" s="14" t="str">
        <x:v>bachelor</x:v>
      </x:c>
      <x:c r="I40" s="14" t="str">
        <x:v>English</x:v>
      </x:c>
      <x:c r="J40" s="14" t="str">
        <x:v>not_applicable</x:v>
      </x:c>
      <x:c r="K40" s="16"/>
      <x:c r="L40" s="16"/>
      <x:c r="M40" s="14" t="str">
        <x:v>next_cycle_pending</x:v>
      </x:c>
      <x:c r="N40" s="14" t="str">
        <x:v>program_identity_only</x:v>
      </x:c>
      <x:c r="O40" s="14" t="str">
        <x:f>IF(N40="cycle_ready","周期可发布","仅项目身份")</x:f>
        <x:v>仅项目身份</x:v>
      </x:c>
      <x:c r="P40" s="14" t="str">
        <x:v>NPU's official 2026 catalog lists this major for international undergraduate students.</x:v>
      </x:c>
      <x:c r="Q40" s="14" t="str">
        <x:v>The official guide links NPU's direct online application portal.</x:v>
      </x:c>
      <x:c r="R40" s="14" t="str">
        <x:v>https://studyat.nwpu.edu.cn/info/1203/5301.htm</x:v>
      </x:c>
      <x:c r="S40" s="14" t="str">
        <x:v>https://studyat.nwpu.edu.cn/info/1184/3541.htm</x:v>
      </x:c>
      <x:c r="T40" s="16" t="n">
        <x:v>46229</x:v>
      </x:c>
      <x:c r="U40" s="14" t="str">
        <x:v>west-coast-02.json</x:v>
      </x:c>
    </x:row>
    <x:row r="41">
      <x:c r="A41" s="14" t="n">
        <x:v>38</x:v>
      </x:c>
      <x:c r="B41" s="14" t="str">
        <x:v>西安电子科技大学</x:v>
      </x:c>
      <x:c r="C41" s="14" t="str">
        <x:v>Xidian University</x:v>
      </x:c>
      <x:c r="D41" s="14" t="str">
        <x:v>Shaanxi</x:v>
      </x:c>
      <x:c r="E41" s="14" t="str">
        <x:v>信息与通信工程</x:v>
      </x:c>
      <x:c r="F41" s="14" t="str">
        <x:v>Information and Communication Engineering</x:v>
      </x:c>
      <x:c r="G41" s="14" t="str">
        <x:v>degree</x:v>
      </x:c>
      <x:c r="H41" s="14" t="str">
        <x:v>master</x:v>
      </x:c>
      <x:c r="I41" s="14" t="str">
        <x:v>Chinese / English</x:v>
      </x:c>
      <x:c r="J41" s="14" t="str">
        <x:v>not_applicable</x:v>
      </x:c>
      <x:c r="K41" s="16"/>
      <x:c r="L41" s="16"/>
      <x:c r="M41" s="14" t="str">
        <x:v>next_cycle_pending</x:v>
      </x:c>
      <x:c r="N41" s="14" t="str">
        <x:v>program_identity_only</x:v>
      </x:c>
      <x:c r="O41" s="14" t="str">
        <x:f>IF(N41="cycle_ready","周期可发布","仅项目身份")</x:f>
        <x:v>仅项目身份</x:v>
      </x:c>
      <x:c r="P41" s="14" t="str">
        <x:v>The official international master catalog lists this discipline and its teaching languages.</x:v>
      </x:c>
      <x:c r="Q41" s="14" t="str">
        <x:v>Xidian publishes an official 2026 international master application guide.</x:v>
      </x:c>
      <x:c r="R41" s="14" t="str">
        <x:v>https://sie.xidian.edu.cn/lhlx/zsjz/yjsxm/zszy/ssyjsxlxm/txgcxy.htm</x:v>
      </x:c>
      <x:c r="S41" s="14" t="str">
        <x:v>https://sie.xidian.edu.cn/lhlx/zsjz/yjsxm/zsjz2.htm</x:v>
      </x:c>
      <x:c r="T41" s="16" t="n">
        <x:v>46229</x:v>
      </x:c>
      <x:c r="U41" s="14" t="str">
        <x:v>west-coast-02.json</x:v>
      </x:c>
    </x:row>
    <x:row r="42">
      <x:c r="A42" s="14" t="n">
        <x:v>39</x:v>
      </x:c>
      <x:c r="B42" s="14" t="str">
        <x:v>西北农林科技大学</x:v>
      </x:c>
      <x:c r="C42" s="14" t="str">
        <x:v>Northwest A&amp;F University</x:v>
      </x:c>
      <x:c r="D42" s="14" t="str">
        <x:v>Shaanxi</x:v>
      </x:c>
      <x:c r="E42" s="14" t="str">
        <x:v>作物栽培学与耕作学</x:v>
      </x:c>
      <x:c r="F42" s="14" t="str">
        <x:v>Crop Cultivation and Farming System</x:v>
      </x:c>
      <x:c r="G42" s="14" t="str">
        <x:v>degree</x:v>
      </x:c>
      <x:c r="H42" s="14" t="str">
        <x:v>master</x:v>
      </x:c>
      <x:c r="I42" s="14" t="str">
        <x:v>English</x:v>
      </x:c>
      <x:c r="J42" s="14" t="str">
        <x:v>not_applicable</x:v>
      </x:c>
      <x:c r="K42" s="16"/>
      <x:c r="L42" s="16"/>
      <x:c r="M42" s="14" t="str">
        <x:v>next_cycle_pending</x:v>
      </x:c>
      <x:c r="N42" s="14" t="str">
        <x:v>program_identity_only</x:v>
      </x:c>
      <x:c r="O42" s="14" t="str">
        <x:f>IF(N42="cycle_ready","周期可发布","仅项目身份")</x:f>
        <x:v>仅项目身份</x:v>
      </x:c>
      <x:c r="P42" s="14" t="str">
        <x:v>The official 2026 English-medium catalog lists this international master's major.</x:v>
      </x:c>
      <x:c r="Q42" s="14" t="str">
        <x:v>The official guide directs applicants to the university's international application system.</x:v>
      </x:c>
      <x:c r="R42" s="14" t="str">
        <x:v>https://gjs.nwafu.edu.cn/en/ApplicationGuide/4f03a1c38a2341bd969eb38667f9b662.htm</x:v>
      </x:c>
      <x:c r="S42" s="14" t="str">
        <x:v>https://gjs.nwafu.edu.cn/sqzn/0cd426af2fd646e2ad4ac522e3b75569.htm</x:v>
      </x:c>
      <x:c r="T42" s="16" t="n">
        <x:v>46229</x:v>
      </x:c>
      <x:c r="U42" s="14" t="str">
        <x:v>west-coast-02.json</x:v>
      </x:c>
    </x:row>
    <x:row r="43">
      <x:c r="A43" s="14" t="n">
        <x:v>40</x:v>
      </x:c>
      <x:c r="B43" s="14" t="str">
        <x:v>兰州大学</x:v>
      </x:c>
      <x:c r="C43" s="14" t="str">
        <x:v>Lanzhou University</x:v>
      </x:c>
      <x:c r="D43" s="14" t="str">
        <x:v>Gansu</x:v>
      </x:c>
      <x:c r="E43" s="14" t="str">
        <x:v>大气科学</x:v>
      </x:c>
      <x:c r="F43" s="14" t="str">
        <x:v>Atmosphere Science</x:v>
      </x:c>
      <x:c r="G43" s="14" t="str">
        <x:v>degree</x:v>
      </x:c>
      <x:c r="H43" s="14" t="str">
        <x:v>bachelor</x:v>
      </x:c>
      <x:c r="I43" s="14" t="str">
        <x:v>Chinese</x:v>
      </x:c>
      <x:c r="J43" s="14" t="str">
        <x:v>not_applicable</x:v>
      </x:c>
      <x:c r="K43" s="16"/>
      <x:c r="L43" s="16"/>
      <x:c r="M43" s="14" t="str">
        <x:v>next_cycle_pending</x:v>
      </x:c>
      <x:c r="N43" s="14" t="str">
        <x:v>program_identity_only</x:v>
      </x:c>
      <x:c r="O43" s="14" t="str">
        <x:f>IF(N43="cycle_ready","周期可发布","仅项目身份")</x:f>
        <x:v>仅项目身份</x:v>
      </x:c>
      <x:c r="P43" s="14" t="str">
        <x:v>LZU's official 2026 international undergraduate XLSX lists this program.</x:v>
      </x:c>
      <x:c r="Q43" s="14" t="str">
        <x:v>The official guide directs applicants to LZU's international online application system.</x:v>
      </x:c>
      <x:c r="R43" s="14" t="str">
        <x:v>https://sice.lzu.edu.cn/hdapp/bas/col.php?sn=bkxmjs</x:v>
      </x:c>
      <x:c r="S43" s="14" t="str">
        <x:v>https://sice.lzu.edu.cn/hdupf/fil/202511/202511211763710250213099.xlsx</x:v>
      </x:c>
      <x:c r="T43" s="16" t="n">
        <x:v>46229</x:v>
      </x:c>
      <x:c r="U43" s="14" t="str">
        <x:v>west-coast-02.json</x:v>
      </x:c>
    </x:row>
    <x:row r="44">
      <x:c r="A44" s="14" t="n">
        <x:v>41</x:v>
      </x:c>
      <x:c r="B44" s="14" t="str">
        <x:v>中国人民大学</x:v>
      </x:c>
      <x:c r="C44" s="14" t="str">
        <x:v>Renmin University of China</x:v>
      </x:c>
      <x:c r="D44" s="14" t="str">
        <x:v>Beijing</x:v>
      </x:c>
      <x:c r="E44" s="14" t="str">
        <x:v>Finance — Junior Visiting Program</x:v>
      </x:c>
      <x:c r="F44" s="14" t="str">
        <x:v>Finance — Junior Visiting Program</x:v>
      </x:c>
      <x:c r="G44" s="14" t="str">
        <x:v>visiting</x:v>
      </x:c>
      <x:c r="H44" s="14" t="str">
        <x:v>not_applicable</x:v>
      </x:c>
      <x:c r="I44" s="14" t="str">
        <x:v>English</x:v>
      </x:c>
      <x:c r="J44" s="14" t="str">
        <x:v>Spring 2027</x:v>
      </x:c>
      <x:c r="K44" s="16" t="n">
        <x:v>46310</x:v>
      </x:c>
      <x:c r="L44" s="16" t="n">
        <x:v>46341</x:v>
      </x:c>
      <x:c r="M44" s="14" t="str">
        <x:v>future</x:v>
      </x:c>
      <x:c r="N44" s="14" t="str">
        <x:v>cycle_ready</x:v>
      </x:c>
      <x:c r="O44" s="14" t="str">
        <x:f>IF(N44="cycle_ready","周期可发布","仅项目身份")</x:f>
        <x:v>周期可发布</x:v>
      </x:c>
      <x:c r="P44" s="14" t="str">
        <x:v>The official visiting-program guide is expressly for international students and requires non-Chinese nationality.</x:v>
      </x:c>
      <x:c r="Q44" s="14" t="str">
        <x:v>Applicants submit directly through RUC's International Students Application System.</x:v>
      </x:c>
      <x:c r="R44" s="14" t="str">
        <x:v>https://iso.ruc.edu.cn/docs/2025-12/b911becc69294e3ebd5b337c5fbe70e4.pdf</x:v>
      </x:c>
      <x:c r="S44" s="14" t="str">
        <x:v>https://iso.ruc.edu.cn/docs/2025-12/1dbfbbb7263746c3836d62789faa206a.pdf</x:v>
      </x:c>
      <x:c r="T44" s="16" t="n">
        <x:v>46229</x:v>
      </x:c>
      <x:c r="U44" s="14" t="str">
        <x:v>north-east-01.json</x:v>
      </x:c>
    </x:row>
    <x:row r="45">
      <x:c r="A45" s="14" t="n">
        <x:v>42</x:v>
      </x:c>
      <x:c r="B45" s="14" t="str">
        <x:v>北京交通大学</x:v>
      </x:c>
      <x:c r="C45" s="14" t="str">
        <x:v>Beijing Jiaotong University</x:v>
      </x:c>
      <x:c r="D45" s="14" t="str">
        <x:v>Beijing</x:v>
      </x:c>
      <x:c r="E45" s="14" t="str">
        <x:v>汉语进修生项目</x:v>
      </x:c>
      <x:c r="F45" s="14" t="str">
        <x:v>Chinese Language Program</x:v>
      </x:c>
      <x:c r="G45" s="14" t="str">
        <x:v>language</x:v>
      </x:c>
      <x:c r="H45" s="14" t="str">
        <x:v>not_applicable</x:v>
      </x:c>
      <x:c r="I45" s="14" t="str">
        <x:v>Chinese</x:v>
      </x:c>
      <x:c r="J45" s="14" t="str">
        <x:v>not_applicable</x:v>
      </x:c>
      <x:c r="K45" s="16"/>
      <x:c r="L45" s="16"/>
      <x:c r="M45" s="14" t="str">
        <x:v>next_cycle_pending</x:v>
      </x:c>
      <x:c r="N45" s="14" t="str">
        <x:v>program_identity_only</x:v>
      </x:c>
      <x:c r="O45" s="14" t="str">
        <x:f>IF(N45="cycle_ready","周期可发布","仅项目身份")</x:f>
        <x:v>仅项目身份</x:v>
      </x:c>
      <x:c r="P45" s="14" t="str">
        <x:v>BJTU's official international-student brochure lists this one-semester or one-year Chinese program.</x:v>
      </x:c>
      <x:c r="Q45" s="14" t="str">
        <x:v>BJTU's official application platform permits applicants to register and submit their own applications.</x:v>
      </x:c>
      <x:c r="R45" s="14" t="str">
        <x:v>https://www.bjtu.edu.cn/docs/2024-05/3aa28ff57e374540b43be35b3b29acc1.pdf</x:v>
      </x:c>
      <x:c r="S45" s="14" t="str">
        <x:v>https://bjtu.17gz.org/html/article_content/202603/84D3D549E1FB43AB9FBAC905EE4888FD.shtml</x:v>
      </x:c>
      <x:c r="T45" s="16" t="n">
        <x:v>46229</x:v>
      </x:c>
      <x:c r="U45" s="14" t="str">
        <x:v>north-east-02.json</x:v>
      </x:c>
    </x:row>
    <x:row r="46">
      <x:c r="A46" s="14" t="n">
        <x:v>43</x:v>
      </x:c>
      <x:c r="B46" s="14" t="str">
        <x:v>北京工业大学</x:v>
      </x:c>
      <x:c r="C46" s="14" t="str">
        <x:v>Beijing University of Technology</x:v>
      </x:c>
      <x:c r="D46" s="14" t="str">
        <x:v>Beijing</x:v>
      </x:c>
      <x:c r="E46" s="14" t="str">
        <x:v>International Economics and Trade</x:v>
      </x:c>
      <x:c r="F46" s="14" t="str">
        <x:v>International Economics and Trade</x:v>
      </x:c>
      <x:c r="G46" s="14" t="str">
        <x:v>degree</x:v>
      </x:c>
      <x:c r="H46" s="14" t="str">
        <x:v>bachelor</x:v>
      </x:c>
      <x:c r="I46" s="14" t="str">
        <x:v>English</x:v>
      </x:c>
      <x:c r="J46" s="14" t="str">
        <x:v>not_applicable</x:v>
      </x:c>
      <x:c r="K46" s="16"/>
      <x:c r="L46" s="16"/>
      <x:c r="M46" s="14" t="str">
        <x:v>next_cycle_pending</x:v>
      </x:c>
      <x:c r="N46" s="14" t="str">
        <x:v>program_identity_only</x:v>
      </x:c>
      <x:c r="O46" s="14" t="str">
        <x:f>IF(N46="cycle_ready","周期可发布","仅项目身份")</x:f>
        <x:v>仅项目身份</x:v>
      </x:c>
      <x:c r="P46" s="14" t="str">
        <x:v>BJUT's official program brochure states that this degree is for international students.</x:v>
      </x:c>
      <x:c r="Q46" s="14" t="str">
        <x:v>Applicants complete and submit the application through BJUT's online application system.</x:v>
      </x:c>
      <x:c r="R46" s="14" t="str">
        <x:v>https://isa.bjut.edu.cn/__local/1/21/CD/D848DA6BB2FD18E8A4960899C58_1962A72F_36E99A.pdf</x:v>
      </x:c>
      <x:c r="S46" s="14" t="str">
        <x:v>https://isa.bjut.edu.cn/en/ADMISSION/Bachelor_s_Degree_Programs.htm</x:v>
      </x:c>
      <x:c r="T46" s="16" t="n">
        <x:v>46229</x:v>
      </x:c>
      <x:c r="U46" s="14" t="str">
        <x:v>north-east-01.json</x:v>
      </x:c>
    </x:row>
    <x:row r="47">
      <x:c r="A47" s="14" t="n">
        <x:v>44</x:v>
      </x:c>
      <x:c r="B47" s="14" t="str">
        <x:v>北京航空航天大学</x:v>
      </x:c>
      <x:c r="C47" s="14" t="str">
        <x:v>Beihang University</x:v>
      </x:c>
      <x:c r="D47" s="14" t="str">
        <x:v>Beijing</x:v>
      </x:c>
      <x:c r="E47" s="14" t="str">
        <x:v>Flight Vehicle Design and Engineering</x:v>
      </x:c>
      <x:c r="F47" s="14" t="str">
        <x:v>Flight Vehicle Design and Engineering</x:v>
      </x:c>
      <x:c r="G47" s="14" t="str">
        <x:v>degree</x:v>
      </x:c>
      <x:c r="H47" s="14" t="str">
        <x:v>bachelor</x:v>
      </x:c>
      <x:c r="I47" s="14" t="str">
        <x:v>Chinese</x:v>
      </x:c>
      <x:c r="J47" s="14" t="str">
        <x:v>not_applicable</x:v>
      </x:c>
      <x:c r="K47" s="16"/>
      <x:c r="L47" s="16"/>
      <x:c r="M47" s="14" t="str">
        <x:v>next_cycle_pending</x:v>
      </x:c>
      <x:c r="N47" s="14" t="str">
        <x:v>program_identity_only</x:v>
      </x:c>
      <x:c r="O47" s="14" t="str">
        <x:f>IF(N47="cycle_ready","周期可发布","仅项目身份")</x:f>
        <x:v>仅项目身份</x:v>
      </x:c>
      <x:c r="P47" s="14" t="str">
        <x:v>Beihang lists this major in its official international undergraduate program catalog.</x:v>
      </x:c>
      <x:c r="Q47" s="14" t="str">
        <x:v>Applicants register and submit through Beihang's International Student Online Application System.</x:v>
      </x:c>
      <x:c r="R47" s="14" t="str">
        <x:v>https://is.buaa.edu.cn/en/info/1515/3312.htm</x:v>
      </x:c>
      <x:c r="S47" s="14" t="str">
        <x:v>https://is.buaa.edu.cn/en/info/1515/3312.htm</x:v>
      </x:c>
      <x:c r="T47" s="16" t="n">
        <x:v>46229</x:v>
      </x:c>
      <x:c r="U47" s="14" t="str">
        <x:v>north-east-01.json</x:v>
      </x:c>
    </x:row>
    <x:row r="48">
      <x:c r="A48" s="14" t="n">
        <x:v>45</x:v>
      </x:c>
      <x:c r="B48" s="14" t="str">
        <x:v>北京科技大学</x:v>
      </x:c>
      <x:c r="C48" s="14" t="str">
        <x:v>University of Science and Technology Beijing</x:v>
      </x:c>
      <x:c r="D48" s="14" t="str">
        <x:v>Beijing</x:v>
      </x:c>
      <x:c r="E48" s="14" t="str">
        <x:v>Environmental Engineering</x:v>
      </x:c>
      <x:c r="F48" s="14" t="str">
        <x:v>Environmental Engineering</x:v>
      </x:c>
      <x:c r="G48" s="14" t="str">
        <x:v>degree</x:v>
      </x:c>
      <x:c r="H48" s="14" t="str">
        <x:v>bachelor</x:v>
      </x:c>
      <x:c r="I48" s="14" t="str">
        <x:v>English</x:v>
      </x:c>
      <x:c r="J48" s="14" t="str">
        <x:v>not_applicable</x:v>
      </x:c>
      <x:c r="K48" s="16"/>
      <x:c r="L48" s="16"/>
      <x:c r="M48" s="14" t="str">
        <x:v>next_cycle_pending</x:v>
      </x:c>
      <x:c r="N48" s="14" t="str">
        <x:v>program_identity_only</x:v>
      </x:c>
      <x:c r="O48" s="14" t="str">
        <x:f>IF(N48="cycle_ready","周期可发布","仅项目身份")</x:f>
        <x:v>仅项目身份</x:v>
      </x:c>
      <x:c r="P48" s="14" t="str">
        <x:v>USTB's official international undergraduate brochure lists this English-taught major.</x:v>
      </x:c>
      <x:c r="Q48" s="14" t="str">
        <x:v>Applicants register and submit directly through USTB's international online application system.</x:v>
      </x:c>
      <x:c r="R48" s="14" t="str">
        <x:v>https://iscen.ustb.edu.cn/Admissions/7a574bf57214495aa87b81647650f3da.htm</x:v>
      </x:c>
      <x:c r="S48" s="14" t="str">
        <x:v>https://iscen.ustb.edu.cn/Admissions/index.htm</x:v>
      </x:c>
      <x:c r="T48" s="16" t="n">
        <x:v>46229</x:v>
      </x:c>
      <x:c r="U48" s="14" t="str">
        <x:v>north-east-01.json</x:v>
      </x:c>
    </x:row>
    <x:row r="49">
      <x:c r="A49" s="14" t="n">
        <x:v>46</x:v>
      </x:c>
      <x:c r="B49" s="14" t="str">
        <x:v>北京化工大学</x:v>
      </x:c>
      <x:c r="C49" s="14" t="str">
        <x:v>Beijing University of Chemical Technology</x:v>
      </x:c>
      <x:c r="D49" s="14" t="str">
        <x:v>Beijing</x:v>
      </x:c>
      <x:c r="E49" s="14" t="str">
        <x:v>Computer Science and Technology</x:v>
      </x:c>
      <x:c r="F49" s="14" t="str">
        <x:v>Computer Science and Technology</x:v>
      </x:c>
      <x:c r="G49" s="14" t="str">
        <x:v>degree</x:v>
      </x:c>
      <x:c r="H49" s="14" t="str">
        <x:v>master</x:v>
      </x:c>
      <x:c r="I49" s="14" t="str">
        <x:v>English/Chinese</x:v>
      </x:c>
      <x:c r="J49" s="14" t="str">
        <x:v>not_applicable</x:v>
      </x:c>
      <x:c r="K49" s="16"/>
      <x:c r="L49" s="16"/>
      <x:c r="M49" s="14" t="str">
        <x:v>next_cycle_pending</x:v>
      </x:c>
      <x:c r="N49" s="14" t="str">
        <x:v>program_identity_only</x:v>
      </x:c>
      <x:c r="O49" s="14" t="str">
        <x:f>IF(N49="cycle_ready","周期可发布","仅项目身份")</x:f>
        <x:v>仅项目身份</x:v>
      </x:c>
      <x:c r="P49" s="14" t="str">
        <x:v>BUCT's official 2026 international postgraduate call lists this master's major.</x:v>
      </x:c>
      <x:c r="Q49" s="14" t="str">
        <x:v>Applicants personally complete both the CSC and BUCT online application portals.</x:v>
      </x:c>
      <x:c r="R49" s="14" t="str">
        <x:v>https://en-sie.buct.edu.cn/2025/1215/c4216a215812/page.htm</x:v>
      </x:c>
      <x:c r="S49" s="14" t="str">
        <x:v>https://en-sie.buct.edu.cn/3874/list.htm</x:v>
      </x:c>
      <x:c r="T49" s="16" t="n">
        <x:v>46229</x:v>
      </x:c>
      <x:c r="U49" s="14" t="str">
        <x:v>north-east-01.json</x:v>
      </x:c>
    </x:row>
    <x:row r="50">
      <x:c r="A50" s="14" t="n">
        <x:v>47</x:v>
      </x:c>
      <x:c r="B50" s="14" t="str">
        <x:v>北京邮电大学</x:v>
      </x:c>
      <x:c r="C50" s="14" t="str">
        <x:v>Beijing University of Posts and Telecommunications</x:v>
      </x:c>
      <x:c r="D50" s="14" t="str">
        <x:v>Beijing</x:v>
      </x:c>
      <x:c r="E50" s="14" t="str">
        <x:v>英文授课博士项目</x:v>
      </x:c>
      <x:c r="F50" s="14" t="str">
        <x:v>English-taught Doctoral Program</x:v>
      </x:c>
      <x:c r="G50" s="14" t="str">
        <x:v>degree</x:v>
      </x:c>
      <x:c r="H50" s="14" t="str">
        <x:v>doctorate</x:v>
      </x:c>
      <x:c r="I50" s="14" t="str">
        <x:v>English</x:v>
      </x:c>
      <x:c r="J50" s="14" t="str">
        <x:v>not_applicable</x:v>
      </x:c>
      <x:c r="K50" s="16"/>
      <x:c r="L50" s="16"/>
      <x:c r="M50" s="14" t="str">
        <x:v>next_cycle_pending</x:v>
      </x:c>
      <x:c r="N50" s="14" t="str">
        <x:v>program_identity_only</x:v>
      </x:c>
      <x:c r="O50" s="14" t="str">
        <x:f>IF(N50="cycle_ready","周期可发布","仅项目身份")</x:f>
        <x:v>仅项目身份</x:v>
      </x:c>
      <x:c r="P50" s="14" t="str">
        <x:v>BUPT's official admission page defines this program for foreign-national international students.</x:v>
      </x:c>
      <x:c r="Q50" s="14" t="str">
        <x:v>Applicants prepare their documents and submit directly through BUPT's online application system.</x:v>
      </x:c>
      <x:c r="R50" s="14" t="str">
        <x:v>https://ois.bupt.edu.cn/info/1010/1552.htm</x:v>
      </x:c>
      <x:c r="S50" s="14" t="str">
        <x:v>https://ois.bupt.edu.cn/info/1010/1659.htm</x:v>
      </x:c>
      <x:c r="T50" s="16" t="n">
        <x:v>46229</x:v>
      </x:c>
      <x:c r="U50" s="14" t="str">
        <x:v>north-east-02.json</x:v>
      </x:c>
    </x:row>
    <x:row r="51">
      <x:c r="A51" s="14" t="n">
        <x:v>48</x:v>
      </x:c>
      <x:c r="B51" s="14" t="str">
        <x:v>中国农业大学</x:v>
      </x:c>
      <x:c r="C51" s="14" t="str">
        <x:v>China Agricultural University</x:v>
      </x:c>
      <x:c r="D51" s="14" t="str">
        <x:v>Beijing</x:v>
      </x:c>
      <x:c r="E51" s="14" t="str">
        <x:v>农业工程</x:v>
      </x:c>
      <x:c r="F51" s="14" t="str">
        <x:v>Agricultural Engineering</x:v>
      </x:c>
      <x:c r="G51" s="14" t="str">
        <x:v>degree</x:v>
      </x:c>
      <x:c r="H51" s="14" t="str">
        <x:v>master</x:v>
      </x:c>
      <x:c r="I51" s="14" t="str">
        <x:v>English</x:v>
      </x:c>
      <x:c r="J51" s="14" t="str">
        <x:v>not_applicable</x:v>
      </x:c>
      <x:c r="K51" s="16"/>
      <x:c r="L51" s="16"/>
      <x:c r="M51" s="14" t="str">
        <x:v>next_cycle_pending</x:v>
      </x:c>
      <x:c r="N51" s="14" t="str">
        <x:v>program_identity_only</x:v>
      </x:c>
      <x:c r="O51" s="14" t="str">
        <x:f>IF(N51="cycle_ready","周期可发布","仅项目身份")</x:f>
        <x:v>仅项目身份</x:v>
      </x:c>
      <x:c r="P51" s="14" t="str">
        <x:v>CAU's official international graduate catalog lists this English-taught master's program.</x:v>
      </x:c>
      <x:c r="Q51" s="14" t="str">
        <x:v>Applicants choose a funding route and submit their chosen major in CAU's application system.</x:v>
      </x:c>
      <x:c r="R51" s="14" t="str">
        <x:v>https://admissions.cau.edu.cn/art/2025/9/29/art_48604_1107314.html</x:v>
      </x:c>
      <x:c r="S51" s="14" t="str">
        <x:v>https://admissions.cau.edu.cn/col/col48591/index.html</x:v>
      </x:c>
      <x:c r="T51" s="16" t="n">
        <x:v>46229</x:v>
      </x:c>
      <x:c r="U51" s="14" t="str">
        <x:v>north-east-02.json</x:v>
      </x:c>
    </x:row>
    <x:row r="52">
      <x:c r="A52" s="14" t="n">
        <x:v>49</x:v>
      </x:c>
      <x:c r="B52" s="14" t="str">
        <x:v>北京林业大学</x:v>
      </x:c>
      <x:c r="C52" s="14" t="str">
        <x:v>Beijing Forestry University</x:v>
      </x:c>
      <x:c r="D52" s="14" t="str">
        <x:v>Beijing</x:v>
      </x:c>
      <x:c r="E52" s="14" t="str">
        <x:v>进修生项目</x:v>
      </x:c>
      <x:c r="F52" s="14" t="str">
        <x:v>Visiting Students Program</x:v>
      </x:c>
      <x:c r="G52" s="14" t="str">
        <x:v>visiting</x:v>
      </x:c>
      <x:c r="H52" s="14" t="str">
        <x:v>not_applicable</x:v>
      </x:c>
      <x:c r="I52" s="14" t="str">
        <x:v>source_language</x:v>
      </x:c>
      <x:c r="J52" s="14" t="str">
        <x:v>not_applicable</x:v>
      </x:c>
      <x:c r="K52" s="16"/>
      <x:c r="L52" s="16"/>
      <x:c r="M52" s="14" t="str">
        <x:v>next_cycle_pending</x:v>
      </x:c>
      <x:c r="N52" s="14" t="str">
        <x:v>program_identity_only</x:v>
      </x:c>
      <x:c r="O52" s="14" t="str">
        <x:f>IF(N52="cycle_ready","周期可发布","仅项目身份")</x:f>
        <x:v>仅项目身份</x:v>
      </x:c>
      <x:c r="P52" s="14" t="str">
        <x:v>BJFU's official international admission overview lists the Visiting Students Program for non-Chinese citizens aged over 18 who hold a valid passport.</x:v>
      </x:c>
      <x:c r="Q52" s="14" t="str">
        <x:v>The official program entry provides an APPLY NOW route for the applicant; no partner-university nomination condition is stated for this visiting category.</x:v>
      </x:c>
      <x:c r="R52" s="14" t="str">
        <x:v>https://ic.bjfu.edu.cn/Admission/Overview/index.htm</x:v>
      </x:c>
      <x:c r="S52" s="14" t="str">
        <x:v>https://ic.bjfu.edu.cn/Programs/NonDegreePrograms/index.htm</x:v>
      </x:c>
      <x:c r="T52" s="16" t="n">
        <x:v>46229</x:v>
      </x:c>
      <x:c r="U52" s="14" t="str">
        <x:v>north-east-03.json</x:v>
      </x:c>
    </x:row>
    <x:row r="53">
      <x:c r="A53" s="14" t="n">
        <x:v>50</x:v>
      </x:c>
      <x:c r="B53" s="14" t="str">
        <x:v>北京师范大学</x:v>
      </x:c>
      <x:c r="C53" s="14" t="str">
        <x:v>Beijing Normal University</x:v>
      </x:c>
      <x:c r="D53" s="14" t="str">
        <x:v>Beijing</x:v>
      </x:c>
      <x:c r="E53" s="14" t="str">
        <x:v>Computer Science and Technology</x:v>
      </x:c>
      <x:c r="F53" s="14" t="str">
        <x:v>Computer Science and Technology</x:v>
      </x:c>
      <x:c r="G53" s="14" t="str">
        <x:v>degree</x:v>
      </x:c>
      <x:c r="H53" s="14" t="str">
        <x:v>bachelor</x:v>
      </x:c>
      <x:c r="I53" s="14" t="str">
        <x:v>Chinese</x:v>
      </x:c>
      <x:c r="J53" s="14" t="str">
        <x:v>not_applicable</x:v>
      </x:c>
      <x:c r="K53" s="16"/>
      <x:c r="L53" s="16"/>
      <x:c r="M53" s="14" t="str">
        <x:v>next_cycle_pending</x:v>
      </x:c>
      <x:c r="N53" s="14" t="str">
        <x:v>program_identity_only</x:v>
      </x:c>
      <x:c r="O53" s="14" t="str">
        <x:f>IF(N53="cycle_ready","周期可发布","仅项目身份")</x:f>
        <x:v>仅项目身份</x:v>
      </x:c>
      <x:c r="P53" s="14" t="str">
        <x:v>BNU's official 2026 catalog lists this bachelor's major for undergraduate international students.</x:v>
      </x:c>
      <x:c r="Q53" s="14" t="str">
        <x:v>Applicants register, choose a major, and submit through BNU's international application system.</x:v>
      </x:c>
      <x:c r="R53" s="14" t="str">
        <x:v>https://admission-is.bnu.edu.cn/english/admissionprogram/bachelordegreeprogram/majorcatalog/index.html</x:v>
      </x:c>
      <x:c r="S53" s="14" t="str">
        <x:v>https://admission-is.bnu.edu.cn/english/admissionprogram/bachelordegreeprogram/admissionbrochure/index.html</x:v>
      </x:c>
      <x:c r="T53" s="16" t="n">
        <x:v>46229</x:v>
      </x:c>
      <x:c r="U53" s="14" t="str">
        <x:v>north-east-02.json</x:v>
      </x:c>
    </x:row>
    <x:row r="54">
      <x:c r="A54" s="14" t="n">
        <x:v>51</x:v>
      </x:c>
      <x:c r="B54" s="14" t="str">
        <x:v>北京外国语大学</x:v>
      </x:c>
      <x:c r="C54" s="14" t="str">
        <x:v>Beijing Foreign Studies University</x:v>
      </x:c>
      <x:c r="D54" s="14" t="str">
        <x:v>Beijing</x:v>
      </x:c>
      <x:c r="E54" s="14" t="str">
        <x:v>International Business</x:v>
      </x:c>
      <x:c r="F54" s="14" t="str">
        <x:v>International Business</x:v>
      </x:c>
      <x:c r="G54" s="14" t="str">
        <x:v>degree</x:v>
      </x:c>
      <x:c r="H54" s="14" t="str">
        <x:v>bachelor</x:v>
      </x:c>
      <x:c r="I54" s="14" t="str">
        <x:v>English</x:v>
      </x:c>
      <x:c r="J54" s="14" t="str">
        <x:v>Spring 2027</x:v>
      </x:c>
      <x:c r="K54" s="16" t="n">
        <x:v>46310</x:v>
      </x:c>
      <x:c r="L54" s="16" t="n">
        <x:v>46371</x:v>
      </x:c>
      <x:c r="M54" s="14" t="str">
        <x:v>future</x:v>
      </x:c>
      <x:c r="N54" s="14" t="str">
        <x:v>cycle_ready</x:v>
      </x:c>
      <x:c r="O54" s="14" t="str">
        <x:f>IF(N54="cycle_ready","周期可发布","仅项目身份")</x:f>
        <x:v>周期可发布</x:v>
      </x:c>
      <x:c r="P54" s="14" t="str">
        <x:v>BFSU's official 2026 international undergraduate prospectus lists International Business among its English-taught majors and requires a valid foreign passport and non-Chinese citizenship.</x:v>
      </x:c>
      <x:c r="Q54" s="14" t="str">
        <x:v>The official prospectus directs applicants to complete their own English-language online application through study.bfsu.edu.cn.</x:v>
      </x:c>
      <x:c r="R54" s="14" t="str">
        <x:v>https://osao.bfsu.edu.cn/info/2612/7182.htm</x:v>
      </x:c>
      <x:c r="S54" s="14" t="str">
        <x:v>https://osao.bfsu.edu.cn/Academics/Admissions_Brochure.htm</x:v>
      </x:c>
      <x:c r="T54" s="16" t="n">
        <x:v>46229</x:v>
      </x:c>
      <x:c r="U54" s="14" t="str">
        <x:v>north-east-03.json</x:v>
      </x:c>
    </x:row>
    <x:row r="55">
      <x:c r="A55" s="14" t="n">
        <x:v>52</x:v>
      </x:c>
      <x:c r="B55" s="14" t="str">
        <x:v>中国传媒大学</x:v>
      </x:c>
      <x:c r="C55" s="14" t="str">
        <x:v>Communication University of China</x:v>
      </x:c>
      <x:c r="D55" s="14" t="str">
        <x:v>Beijing</x:v>
      </x:c>
      <x:c r="E55" s="14" t="str">
        <x:v>新闻学</x:v>
      </x:c>
      <x:c r="F55" s="14" t="str">
        <x:v>Journalism</x:v>
      </x:c>
      <x:c r="G55" s="14" t="str">
        <x:v>degree</x:v>
      </x:c>
      <x:c r="H55" s="14" t="str">
        <x:v>bachelor</x:v>
      </x:c>
      <x:c r="I55" s="14" t="str">
        <x:v>Chinese</x:v>
      </x:c>
      <x:c r="J55" s="14" t="str">
        <x:v>not_applicable</x:v>
      </x:c>
      <x:c r="K55" s="16"/>
      <x:c r="L55" s="16"/>
      <x:c r="M55" s="14" t="str">
        <x:v>next_cycle_pending</x:v>
      </x:c>
      <x:c r="N55" s="14" t="str">
        <x:v>program_identity_only</x:v>
      </x:c>
      <x:c r="O55" s="14" t="str">
        <x:f>IF(N55="cycle_ready","周期可发布","仅项目身份")</x:f>
        <x:v>仅项目身份</x:v>
      </x:c>
      <x:c r="P55" s="14" t="str">
        <x:v>CUC's official international admissions Q&amp;A expressly names Journalism among the featured programs open to international students, and the official undergraduate catalog confirms its degree-program context.</x:v>
      </x:c>
      <x:c r="Q55" s="14" t="str">
        <x:v>CUC's official Q&amp;A defines online application and submission of materials through its International Student Online Service System.</x:v>
      </x:c>
      <x:c r="R55" s="14" t="str">
        <x:v>https://icuc.cuc.edu.cn/2026/0206/c7289a266964/page.htm</x:v>
      </x:c>
      <x:c r="S55" s="14" t="str">
        <x:v>https://icuc.cuc.edu.cn/2026/0204/c7289a266930/page.htm</x:v>
      </x:c>
      <x:c r="T55" s="16" t="n">
        <x:v>46229</x:v>
      </x:c>
      <x:c r="U55" s="14" t="str">
        <x:v>north-east-03.json</x:v>
      </x:c>
    </x:row>
    <x:row r="56">
      <x:c r="A56" s="14" t="n">
        <x:v>53</x:v>
      </x:c>
      <x:c r="B56" s="14" t="str">
        <x:v>中央财经大学</x:v>
      </x:c>
      <x:c r="C56" s="14" t="str">
        <x:v>Central University of Finance and Economics</x:v>
      </x:c>
      <x:c r="D56" s="14" t="str">
        <x:v>Beijing</x:v>
      </x:c>
      <x:c r="E56" s="14" t="str">
        <x:v>International Law</x:v>
      </x:c>
      <x:c r="F56" s="14" t="str">
        <x:v>International Law</x:v>
      </x:c>
      <x:c r="G56" s="14" t="str">
        <x:v>degree</x:v>
      </x:c>
      <x:c r="H56" s="14" t="str">
        <x:v>master</x:v>
      </x:c>
      <x:c r="I56" s="14" t="str">
        <x:v>English</x:v>
      </x:c>
      <x:c r="J56" s="14" t="str">
        <x:v>not_applicable</x:v>
      </x:c>
      <x:c r="K56" s="16"/>
      <x:c r="L56" s="16"/>
      <x:c r="M56" s="14" t="str">
        <x:v>next_cycle_pending</x:v>
      </x:c>
      <x:c r="N56" s="14" t="str">
        <x:v>program_identity_only</x:v>
      </x:c>
      <x:c r="O56" s="14" t="str">
        <x:f>IF(N56="cycle_ready","周期可发布","仅项目身份")</x:f>
        <x:v>仅项目身份</x:v>
      </x:c>
      <x:c r="P56" s="14" t="str">
        <x:v>CUFE's official international master's catalog lists International Law as an English-taught program; its international application guide requires non-Chinese citizenship and a bachelor's degree or above.</x:v>
      </x:c>
      <x:c r="Q56" s="14" t="str">
        <x:v>The official guide instructs applicants to sign in to CUFE's International Student Service System and submit the online application.</x:v>
      </x:c>
      <x:c r="R56" s="14" t="str">
        <x:v>https://sice.cufe.edu.cn/admissions/info/1046/3425.htm</x:v>
      </x:c>
      <x:c r="S56" s="14" t="str">
        <x:v>https://sice.cufe.edu.cn/admissions/info/1046/3424.htm</x:v>
      </x:c>
      <x:c r="T56" s="16" t="n">
        <x:v>46229</x:v>
      </x:c>
      <x:c r="U56" s="14" t="str">
        <x:v>north-east-03.json</x:v>
      </x:c>
    </x:row>
    <x:row r="57">
      <x:c r="A57" s="14" t="n">
        <x:v>54</x:v>
      </x:c>
      <x:c r="B57" s="14" t="str">
        <x:v>对外经济贸易大学</x:v>
      </x:c>
      <x:c r="C57" s="14" t="str">
        <x:v>University of International Business and Economics</x:v>
      </x:c>
      <x:c r="D57" s="14" t="str">
        <x:v>Beijing</x:v>
      </x:c>
      <x:c r="E57" s="14" t="str">
        <x:v>Finance</x:v>
      </x:c>
      <x:c r="F57" s="14" t="str">
        <x:v>Finance</x:v>
      </x:c>
      <x:c r="G57" s="14" t="str">
        <x:v>degree</x:v>
      </x:c>
      <x:c r="H57" s="14" t="str">
        <x:v>bachelor</x:v>
      </x:c>
      <x:c r="I57" s="14" t="str">
        <x:v>English</x:v>
      </x:c>
      <x:c r="J57" s="14" t="str">
        <x:v>Spring 2027</x:v>
      </x:c>
      <x:c r="K57" s="16" t="n">
        <x:v>46315</x:v>
      </x:c>
      <x:c r="L57" s="16" t="n">
        <x:v>46387</x:v>
      </x:c>
      <x:c r="M57" s="14" t="str">
        <x:v>future</x:v>
      </x:c>
      <x:c r="N57" s="14" t="str">
        <x:v>cycle_ready</x:v>
      </x:c>
      <x:c r="O57" s="14" t="str">
        <x:f>IF(N57="cycle_ready","周期可发布","仅项目身份")</x:f>
        <x:v>周期可发布</x:v>
      </x:c>
      <x:c r="P57" s="14" t="str">
        <x:v>UIBE lists Finance in its official English-taught International Undergraduate Programs.</x:v>
      </x:c>
      <x:c r="Q57" s="14" t="str">
        <x:v>The official program page directs applicants to apply online through UIBE.</x:v>
      </x:c>
      <x:c r="R57" s="14" t="str">
        <x:v>https://sie.uibe.edu.cn/en/Prgr/BacDegPro/OfEn/index.htm</x:v>
      </x:c>
      <x:c r="S57" s="14" t="str">
        <x:v>https://sie.uibe.edu.cn/en/Prgr/index.htm</x:v>
      </x:c>
      <x:c r="T57" s="16" t="n">
        <x:v>46229</x:v>
      </x:c>
      <x:c r="U57" s="14" t="str">
        <x:v>north-east-02.json</x:v>
      </x:c>
    </x:row>
    <x:row r="58">
      <x:c r="A58" s="14" t="n">
        <x:v>55</x:v>
      </x:c>
      <x:c r="B58" s="14" t="str">
        <x:v>中央民族大学</x:v>
      </x:c>
      <x:c r="C58" s="14" t="str">
        <x:v>Minzu University of China</x:v>
      </x:c>
      <x:c r="D58" s="14" t="str">
        <x:v>Beijing</x:v>
      </x:c>
      <x:c r="E58" s="14" t="str">
        <x:v>一学期研修生（汉语言文学方向）</x:v>
      </x:c>
      <x:c r="F58" s="14" t="str">
        <x:v>One-Semester Study Program — Chinese Language and Literature</x:v>
      </x:c>
      <x:c r="G58" s="14" t="str">
        <x:v>language</x:v>
      </x:c>
      <x:c r="H58" s="14" t="str">
        <x:v>not_applicable</x:v>
      </x:c>
      <x:c r="I58" s="14" t="str">
        <x:v>Chinese</x:v>
      </x:c>
      <x:c r="J58" s="14" t="str">
        <x:v>Spring 2027</x:v>
      </x:c>
      <x:c r="K58" s="16" t="n">
        <x:v>46082</x:v>
      </x:c>
      <x:c r="L58" s="16" t="n">
        <x:v>46326</x:v>
      </x:c>
      <x:c r="M58" s="14" t="str">
        <x:v>open</x:v>
      </x:c>
      <x:c r="N58" s="14" t="str">
        <x:v>cycle_ready</x:v>
      </x:c>
      <x:c r="O58" s="14" t="str">
        <x:f>IF(N58="cycle_ready","周期可发布","仅项目身份")</x:f>
        <x:v>周期可发布</x:v>
      </x:c>
      <x:c r="P58" s="14" t="str">
        <x:v>MUC's official 2026 International Chinese Language Teachers Scholarship guide lists the one-semester Chinese Language and Literature direction for non-Chinese applicants, including a March 2027 intake.</x:v>
      </x:c>
      <x:c r="Q58" s="14" t="str">
        <x:v>The official guide requires the applicant to submit online in both the scholarship system and MUC's international student system; a recommending-institution letter is also required.</x:v>
      </x:c>
      <x:c r="R58" s="14" t="str">
        <x:v>https://cie.muc.edu.cn/info/1806/12379.htm</x:v>
      </x:c>
      <x:c r="S58" s="14" t="str">
        <x:v>https://cie.muc.edu.cn/lxmd2/hyjxxm/jxj.htm</x:v>
      </x:c>
      <x:c r="T58" s="16" t="n">
        <x:v>46229</x:v>
      </x:c>
      <x:c r="U58" s="14" t="str">
        <x:v>north-east-03.json</x:v>
      </x:c>
    </x:row>
    <x:row r="59">
      <x:c r="A59" s="14" t="n">
        <x:v>56</x:v>
      </x:c>
      <x:c r="B59" s="14" t="str">
        <x:v>南开大学</x:v>
      </x:c>
      <x:c r="C59" s="14" t="str">
        <x:v>Nankai University</x:v>
      </x:c>
      <x:c r="D59" s="14" t="str">
        <x:v>Tianjin</x:v>
      </x:c>
      <x:c r="E59" s="14" t="str">
        <x:v>汉语（商务汉语）</x:v>
      </x:c>
      <x:c r="F59" s="14" t="str">
        <x:v>Chinese Language (Business Chinese)</x:v>
      </x:c>
      <x:c r="G59" s="14" t="str">
        <x:v>degree</x:v>
      </x:c>
      <x:c r="H59" s="14" t="str">
        <x:v>bachelor</x:v>
      </x:c>
      <x:c r="I59" s="14" t="str">
        <x:v>Chinese</x:v>
      </x:c>
      <x:c r="J59" s="14" t="str">
        <x:v>2026 Fall</x:v>
      </x:c>
      <x:c r="K59" s="16" t="n">
        <x:v>45950</x:v>
      </x:c>
      <x:c r="L59" s="16" t="n">
        <x:v>46203</x:v>
      </x:c>
      <x:c r="M59" s="14" t="str">
        <x:v>closed</x:v>
      </x:c>
      <x:c r="N59" s="14" t="str">
        <x:v>program_identity_only</x:v>
      </x:c>
      <x:c r="O59" s="14" t="str">
        <x:f>IF(N59="cycle_ready","周期可发布","仅项目身份")</x:f>
        <x:v>仅项目身份</x:v>
      </x:c>
      <x:c r="P59" s="14" t="str">
        <x:v>The official 2026 international undergraduate catalog lists Business Chinese.</x:v>
      </x:c>
      <x:c r="Q59" s="14" t="str">
        <x:v>Applicants submit documents and preferences through Nankai's online platform.</x:v>
      </x:c>
      <x:c r="R59" s="14" t="str">
        <x:v>https://ensie.nankai.edu.cn/info/1089/1167.htm</x:v>
      </x:c>
      <x:c r="S59" s="14" t="str">
        <x:v>https://ensie.nankai.edu.cn/__local/C/AA/9B/C4D2A9703C9C092254029111A2E_3D29FA7B_1E822.pdf</x:v>
      </x:c>
      <x:c r="T59" s="16" t="n">
        <x:v>46229</x:v>
      </x:c>
      <x:c r="U59" s="14" t="str">
        <x:v>root-01.json</x:v>
      </x:c>
    </x:row>
    <x:row r="60">
      <x:c r="A60" s="14" t="n">
        <x:v>57</x:v>
      </x:c>
      <x:c r="B60" s="14" t="str">
        <x:v>天津大学</x:v>
      </x:c>
      <x:c r="C60" s="14" t="str">
        <x:v>Tianjin University</x:v>
      </x:c>
      <x:c r="D60" s="14" t="str">
        <x:v>Tianjin</x:v>
      </x:c>
      <x:c r="E60" s="14" t="str">
        <x:v>国际学生本科项目</x:v>
      </x:c>
      <x:c r="F60" s="14" t="str">
        <x:v>International Undergraduate Programs</x:v>
      </x:c>
      <x:c r="G60" s="14" t="str">
        <x:v>degree</x:v>
      </x:c>
      <x:c r="H60" s="14" t="str">
        <x:v>bachelor</x:v>
      </x:c>
      <x:c r="I60" s="14" t="str">
        <x:v>Chinese/English</x:v>
      </x:c>
      <x:c r="J60" s="14" t="str">
        <x:v>2026 Fall</x:v>
      </x:c>
      <x:c r="K60" s="16"/>
      <x:c r="L60" s="16"/>
      <x:c r="M60" s="14" t="str">
        <x:v>next_cycle_pending</x:v>
      </x:c>
      <x:c r="N60" s="14" t="str">
        <x:v>program_identity_only</x:v>
      </x:c>
      <x:c r="O60" s="14" t="str">
        <x:f>IF(N60="cycle_ready","周期可发布","仅项目身份")</x:f>
        <x:v>仅项目身份</x:v>
      </x:c>
      <x:c r="P60" s="14" t="str">
        <x:v>The official guide requires non-Chinese citizenship and a valid passport.</x:v>
      </x:c>
      <x:c r="Q60" s="14" t="str">
        <x:v>Applicants complete the official International Student Service System application.</x:v>
      </x:c>
      <x:c r="R60" s="14" t="str">
        <x:v>https://sie.tju.edu.cn/en/xwxm/UNDERGRADUATE/202510/t20251013_324445.html</x:v>
      </x:c>
      <x:c r="S60" s="14" t="str">
        <x:v>https://sie.tju.edu.cn/en/xwxm/UNDERGRADUATE/202510/t20251013_324445.html</x:v>
      </x:c>
      <x:c r="T60" s="16" t="n">
        <x:v>46229</x:v>
      </x:c>
      <x:c r="U60" s="14" t="str">
        <x:v>root-01.json</x:v>
      </x:c>
    </x:row>
    <x:row r="61">
      <x:c r="A61" s="14" t="n">
        <x:v>58</x:v>
      </x:c>
      <x:c r="B61" s="14" t="str">
        <x:v>大连理工大学</x:v>
      </x:c>
      <x:c r="C61" s="14" t="str">
        <x:v>Dalian University of Technology</x:v>
      </x:c>
      <x:c r="D61" s="14" t="str">
        <x:v>Liaoning</x:v>
      </x:c>
      <x:c r="E61" s="14" t="str">
        <x:v>汉语（国际中文教育）本科项目</x:v>
      </x:c>
      <x:c r="F61" s="14" t="str">
        <x:v>Chinese Language (International Chinese Language Education) Bachelor Program</x:v>
      </x:c>
      <x:c r="G61" s="14" t="str">
        <x:v>degree</x:v>
      </x:c>
      <x:c r="H61" s="14" t="str">
        <x:v>bachelor</x:v>
      </x:c>
      <x:c r="I61" s="14" t="str">
        <x:v>Chinese</x:v>
      </x:c>
      <x:c r="J61" s="14" t="str">
        <x:v>2027 Fall</x:v>
      </x:c>
      <x:c r="K61" s="16" t="n">
        <x:v>46327</x:v>
      </x:c>
      <x:c r="L61" s="16" t="n">
        <x:v>46568</x:v>
      </x:c>
      <x:c r="M61" s="14" t="str">
        <x:v>future</x:v>
      </x:c>
      <x:c r="N61" s="14" t="str">
        <x:v>cycle_ready</x:v>
      </x:c>
      <x:c r="O61" s="14" t="str">
        <x:f>IF(N61="cycle_ready","周期可发布","仅项目身份")</x:f>
        <x:v>周期可发布</x:v>
      </x:c>
      <x:c r="P61" s="14" t="str">
        <x:v>The program page explicitly requires non-Chinese citizenship.</x:v>
      </x:c>
      <x:c r="Q61" s="14" t="str">
        <x:v>Applicants upload required documents through DUT's online application system.</x:v>
      </x:c>
      <x:c r="R61" s="14" t="str">
        <x:v>https://sie.dlut.edu.cn/info/1179/24291.htm</x:v>
      </x:c>
      <x:c r="S61" s="14" t="str">
        <x:v>https://sie.dlut.edu.cn/English/Admissions/Degree_Programs/Bachelor_Programs1.htm</x:v>
      </x:c>
      <x:c r="T61" s="16" t="n">
        <x:v>46229</x:v>
      </x:c>
      <x:c r="U61" s="14" t="str">
        <x:v>root-01.json</x:v>
      </x:c>
    </x:row>
    <x:row r="62">
      <x:c r="A62" s="14" t="n">
        <x:v>59</x:v>
      </x:c>
      <x:c r="B62" s="14" t="str">
        <x:v>东北师范大学</x:v>
      </x:c>
      <x:c r="C62" s="14" t="str">
        <x:v>Northeast Normal University</x:v>
      </x:c>
      <x:c r="D62" s="14" t="str">
        <x:v>Jilin</x:v>
      </x:c>
      <x:c r="E62" s="14" t="str">
        <x:v>国际学生本科项目</x:v>
      </x:c>
      <x:c r="F62" s="14" t="str">
        <x:v>Bachelor's Programs for International Students</x:v>
      </x:c>
      <x:c r="G62" s="14" t="str">
        <x:v>degree</x:v>
      </x:c>
      <x:c r="H62" s="14" t="str">
        <x:v>bachelor</x:v>
      </x:c>
      <x:c r="I62" s="14" t="str">
        <x:v>Chinese/English</x:v>
      </x:c>
      <x:c r="J62" s="14" t="str">
        <x:v>2026 Fall</x:v>
      </x:c>
      <x:c r="K62" s="16"/>
      <x:c r="L62" s="16" t="n">
        <x:v>46195</x:v>
      </x:c>
      <x:c r="M62" s="14" t="str">
        <x:v>closed</x:v>
      </x:c>
      <x:c r="N62" s="14" t="str">
        <x:v>program_identity_only</x:v>
      </x:c>
      <x:c r="O62" s="14" t="str">
        <x:f>IF(N62="cycle_ready","周期可发布","仅项目身份")</x:f>
        <x:v>仅项目身份</x:v>
      </x:c>
      <x:c r="P62" s="14" t="str">
        <x:v>The 2026–2027 guide requires applicants to be non-Chinese citizens.</x:v>
      </x:c>
      <x:c r="Q62" s="14" t="str">
        <x:v>Applicants register, upload documents, and pay through NENU's service system.</x:v>
      </x:c>
      <x:c r="R62" s="14" t="str">
        <x:v>https://iso.nenu.edu.cn/Admission/Bachelor_Program.htm</x:v>
      </x:c>
      <x:c r="S62" s="14" t="str">
        <x:v>https://iso.nenu.edu.cn/Admission/Bachelor_Program.htm</x:v>
      </x:c>
      <x:c r="T62" s="16" t="n">
        <x:v>46229</x:v>
      </x:c>
      <x:c r="U62" s="14" t="str">
        <x:v>root-01.json</x:v>
      </x:c>
    </x:row>
    <x:row r="63">
      <x:c r="A63" s="14" t="n">
        <x:v>60</x:v>
      </x:c>
      <x:c r="B63" s="14" t="str">
        <x:v>哈尔滨工程大学</x:v>
      </x:c>
      <x:c r="C63" s="14" t="str">
        <x:v>Harbin Engineering University</x:v>
      </x:c>
      <x:c r="D63" s="14" t="str">
        <x:v>Heilongjiang</x:v>
      </x:c>
      <x:c r="E63" s="14" t="str">
        <x:v>土木工程（双学位）</x:v>
      </x:c>
      <x:c r="F63" s="14" t="str">
        <x:v>Civil Engineering (Double Degree)</x:v>
      </x:c>
      <x:c r="G63" s="14" t="str">
        <x:v>degree</x:v>
      </x:c>
      <x:c r="H63" s="14" t="str">
        <x:v>bachelor</x:v>
      </x:c>
      <x:c r="I63" s="14" t="str">
        <x:v>Chinese/English</x:v>
      </x:c>
      <x:c r="J63" s="14" t="str">
        <x:v>2026 Fall</x:v>
      </x:c>
      <x:c r="K63" s="16" t="n">
        <x:v>45962</x:v>
      </x:c>
      <x:c r="L63" s="16" t="n">
        <x:v>46157</x:v>
      </x:c>
      <x:c r="M63" s="14" t="str">
        <x:v>closed</x:v>
      </x:c>
      <x:c r="N63" s="14" t="str">
        <x:v>program_identity_only</x:v>
      </x:c>
      <x:c r="O63" s="14" t="str">
        <x:f>IF(N63="cycle_ready","周期可发布","仅项目身份")</x:f>
        <x:v>仅项目身份</x:v>
      </x:c>
      <x:c r="P63" s="14" t="str">
        <x:v>The official international guide lists the double-degree program.</x:v>
      </x:c>
      <x:c r="Q63" s="14" t="str">
        <x:v>The guide tells applicants to submit an individual HEU online application.</x:v>
      </x:c>
      <x:c r="R63" s="14" t="str">
        <x:v>https://studyheu.hrbeu.edu.cn/en/info/1026/1323.htm</x:v>
      </x:c>
      <x:c r="S63" s="14" t="str">
        <x:v>https://studyheu.hrbeu.edu.cn/en/info/1026/1323.htm</x:v>
      </x:c>
      <x:c r="T63" s="16" t="n">
        <x:v>46229</x:v>
      </x:c>
      <x:c r="U63" s="14" t="str">
        <x:v>root-01.json</x:v>
      </x:c>
    </x:row>
    <x:row r="64">
      <x:c r="A64" s="14" t="n">
        <x:v>61</x:v>
      </x:c>
      <x:c r="B64" s="14" t="str">
        <x:v>复旦大学</x:v>
      </x:c>
      <x:c r="C64" s="14" t="str">
        <x:v>Fudan University</x:v>
      </x:c>
      <x:c r="D64" s="14" t="str">
        <x:v>Shanghai</x:v>
      </x:c>
      <x:c r="E64" s="14" t="str">
        <x:v>Fudan International Winter Session 2026</x:v>
      </x:c>
      <x:c r="F64" s="14" t="str">
        <x:v>Fudan International Winter Session 2026</x:v>
      </x:c>
      <x:c r="G64" s="14" t="str">
        <x:v>short_term</x:v>
      </x:c>
      <x:c r="H64" s="14" t="str">
        <x:v>not_applicable</x:v>
      </x:c>
      <x:c r="I64" s="14" t="str">
        <x:v>English</x:v>
      </x:c>
      <x:c r="J64" s="14" t="str">
        <x:v>2026 Winter</x:v>
      </x:c>
      <x:c r="K64" s="16"/>
      <x:c r="L64" s="16" t="n">
        <x:v>46335</x:v>
      </x:c>
      <x:c r="M64" s="14" t="str">
        <x:v>open</x:v>
      </x:c>
      <x:c r="N64" s="14" t="str">
        <x:v>cycle_ready</x:v>
      </x:c>
      <x:c r="O64" s="14" t="str">
        <x:f>IF(N64="cycle_ready","周期可发布","仅项目身份")</x:f>
        <x:v>周期可发布</x:v>
      </x:c>
      <x:c r="P64" s="14" t="str">
        <x:v>The official application page accepts self-paying students holding non-Chinese passports.</x:v>
      </x:c>
      <x:c r="Q64" s="14" t="str">
        <x:v>Applicants submit directly through Fudan's iStudent portal.</x:v>
      </x:c>
      <x:c r="R64" s="14" t="str">
        <x:v>https://iss.fudan.edu.cn/Winter/Application.htm</x:v>
      </x:c>
      <x:c r="S64" s="14" t="str">
        <x:v>https://iso.fudan.edu.cn/isoenglish/wonwwegree/list.htm</x:v>
      </x:c>
      <x:c r="T64" s="16" t="n">
        <x:v>46229</x:v>
      </x:c>
      <x:c r="U64" s="14" t="str">
        <x:v>central-south-01.json</x:v>
      </x:c>
    </x:row>
    <x:row r="65">
      <x:c r="A65" s="14" t="n">
        <x:v>62</x:v>
      </x:c>
      <x:c r="B65" s="14" t="str">
        <x:v>同济大学</x:v>
      </x:c>
      <x:c r="C65" s="14" t="str">
        <x:v>Tongji University</x:v>
      </x:c>
      <x:c r="D65" s="14" t="str">
        <x:v>Shanghai</x:v>
      </x:c>
      <x:c r="E65" s="14" t="str">
        <x:v>Bachelor of Medicine and Bachelor of Surgery (MBBS)</x:v>
      </x:c>
      <x:c r="F65" s="14" t="str">
        <x:v>Bachelor of Medicine and Bachelor of Surgery (MBBS)</x:v>
      </x:c>
      <x:c r="G65" s="14" t="str">
        <x:v>degree</x:v>
      </x:c>
      <x:c r="H65" s="14" t="str">
        <x:v>bachelor</x:v>
      </x:c>
      <x:c r="I65" s="14" t="str">
        <x:v>English</x:v>
      </x:c>
      <x:c r="J65" s="14" t="str">
        <x:v>not_applicable</x:v>
      </x:c>
      <x:c r="K65" s="16"/>
      <x:c r="L65" s="16"/>
      <x:c r="M65" s="14" t="str">
        <x:v>next_cycle_pending</x:v>
      </x:c>
      <x:c r="N65" s="14" t="str">
        <x:v>program_identity_only</x:v>
      </x:c>
      <x:c r="O65" s="14" t="str">
        <x:f>IF(N65="cycle_ready","周期可发布","仅项目身份")</x:f>
        <x:v>仅项目身份</x:v>
      </x:c>
      <x:c r="P65" s="14" t="str">
        <x:v>The official prospectus identifies MBBS as a program for international students.</x:v>
      </x:c>
      <x:c r="Q65" s="14" t="str">
        <x:v>The official guide directs applicants to Tongji's online application system.</x:v>
      </x:c>
      <x:c r="R65" s="14" t="str">
        <x:v>https://study.tongji.edu.cn/__local/7/F3/BB/C0BD5398885666DBDC4FB4C2007_31B4DDB5_4E0E8.pdf</x:v>
      </x:c>
      <x:c r="S65" s="14" t="str">
        <x:v>https://study.tongji.edu.cn/en/ADMISSION/Undergraduate_Programs/Degree_programs_English_taught.htm</x:v>
      </x:c>
      <x:c r="T65" s="16" t="n">
        <x:v>46229</x:v>
      </x:c>
      <x:c r="U65" s="14" t="str">
        <x:v>central-south-01.json</x:v>
      </x:c>
    </x:row>
    <x:row r="66">
      <x:c r="A66" s="14" t="n">
        <x:v>63</x:v>
      </x:c>
      <x:c r="B66" s="14" t="str">
        <x:v>华东师范大学</x:v>
      </x:c>
      <x:c r="C66" s="14" t="str">
        <x:v>East China Normal University</x:v>
      </x:c>
      <x:c r="D66" s="14" t="str">
        <x:v>Shanghai</x:v>
      </x:c>
      <x:c r="E66" s="14" t="str">
        <x:v>Intensive Chinese Language Program</x:v>
      </x:c>
      <x:c r="F66" s="14" t="str">
        <x:v>Intensive Chinese Language Program</x:v>
      </x:c>
      <x:c r="G66" s="14" t="str">
        <x:v>language</x:v>
      </x:c>
      <x:c r="H66" s="14" t="str">
        <x:v>not_applicable</x:v>
      </x:c>
      <x:c r="I66" s="14" t="str">
        <x:v>Chinese</x:v>
      </x:c>
      <x:c r="J66" s="14" t="str">
        <x:v>2026 Autumn</x:v>
      </x:c>
      <x:c r="K66" s="16"/>
      <x:c r="L66" s="16" t="n">
        <x:v>46234</x:v>
      </x:c>
      <x:c r="M66" s="14" t="str">
        <x:v>open</x:v>
      </x:c>
      <x:c r="N66" s="14" t="str">
        <x:v>cycle_ready</x:v>
      </x:c>
      <x:c r="O66" s="14" t="str">
        <x:f>IF(N66="cycle_ready","周期可发布","仅项目身份")</x:f>
        <x:v>周期可发布</x:v>
      </x:c>
      <x:c r="P66" s="14" t="str">
        <x:v>ECNU publishes the program on its official international student admissions site.</x:v>
      </x:c>
      <x:c r="Q66" s="14" t="str">
        <x:v>The official page directs applicants to ECNU's online application system.</x:v>
      </x:c>
      <x:c r="R66" s="14" t="str">
        <x:v>https://lxs.ecnu.edu.cn/en_admission_chinese_language_programs_intensive_chinese_language_program/list.htm</x:v>
      </x:c>
      <x:c r="S66" s="14" t="str">
        <x:v>https://lxs.ecnu.edu.cn/en/admission/</x:v>
      </x:c>
      <x:c r="T66" s="16" t="n">
        <x:v>46229</x:v>
      </x:c>
      <x:c r="U66" s="14" t="str">
        <x:v>central-south-01.json</x:v>
      </x:c>
    </x:row>
    <x:row r="67">
      <x:c r="A67" s="14" t="n">
        <x:v>64</x:v>
      </x:c>
      <x:c r="B67" s="14" t="str">
        <x:v>上海大学</x:v>
      </x:c>
      <x:c r="C67" s="14" t="str">
        <x:v>Shanghai University</x:v>
      </x:c>
      <x:c r="D67" s="14" t="str">
        <x:v>Shanghai</x:v>
      </x:c>
      <x:c r="E67" s="14" t="str">
        <x:v>2026年秋季上海大学长期汉语进修项目（一学年）</x:v>
      </x:c>
      <x:c r="F67" s="14" t="str">
        <x:v>One-Year Intensive Chinese Language Program</x:v>
      </x:c>
      <x:c r="G67" s="14" t="str">
        <x:v>language</x:v>
      </x:c>
      <x:c r="H67" s="14" t="str">
        <x:v>not_applicable</x:v>
      </x:c>
      <x:c r="I67" s="14" t="str">
        <x:v>Chinese</x:v>
      </x:c>
      <x:c r="J67" s="14" t="str">
        <x:v>not_applicable</x:v>
      </x:c>
      <x:c r="K67" s="16"/>
      <x:c r="L67" s="16"/>
      <x:c r="M67" s="14" t="str">
        <x:v>next_cycle_pending</x:v>
      </x:c>
      <x:c r="N67" s="14" t="str">
        <x:v>program_identity_only</x:v>
      </x:c>
      <x:c r="O67" s="14" t="str">
        <x:f>IF(N67="cycle_ready","周期可发布","仅项目身份")</x:f>
        <x:v>仅项目身份</x:v>
      </x:c>
      <x:c r="P67" s="14" t="str">
        <x:v>Shanghai University's official international admissions catalog lists this program.</x:v>
      </x:c>
      <x:c r="Q67" s="14" t="str">
        <x:v>The linked official prospectus provides SHU's individual online application route.</x:v>
      </x:c>
      <x:c r="R67" s="14" t="str">
        <x:v>https://apply.shu.edu.cn/news/index?category_id=2&amp;language=en</x:v>
      </x:c>
      <x:c r="S67" s="14" t="str">
        <x:v>https://apply.shu.edu.cn/news/index?category_id=2&amp;language=en</x:v>
      </x:c>
      <x:c r="T67" s="16" t="n">
        <x:v>46229</x:v>
      </x:c>
      <x:c r="U67" s="14" t="str">
        <x:v>central-south-01.json</x:v>
      </x:c>
    </x:row>
    <x:row r="68">
      <x:c r="A68" s="14" t="n">
        <x:v>65</x:v>
      </x:c>
      <x:c r="B68" s="14" t="str">
        <x:v>南京大学</x:v>
      </x:c>
      <x:c r="C68" s="14" t="str">
        <x:v>Nanjing University</x:v>
      </x:c>
      <x:c r="D68" s="14" t="str">
        <x:v>Jiangsu</x:v>
      </x:c>
      <x:c r="E68" s="14" t="str">
        <x:v>资源与环境：智慧环境</x:v>
      </x:c>
      <x:c r="F68" s="14" t="str">
        <x:v>Master of Resources and Environment: Smart Environment</x:v>
      </x:c>
      <x:c r="G68" s="14" t="str">
        <x:v>degree</x:v>
      </x:c>
      <x:c r="H68" s="14" t="str">
        <x:v>master</x:v>
      </x:c>
      <x:c r="I68" s="14" t="str">
        <x:v>English</x:v>
      </x:c>
      <x:c r="J68" s="14" t="str">
        <x:v>not_applicable</x:v>
      </x:c>
      <x:c r="K68" s="16"/>
      <x:c r="L68" s="16"/>
      <x:c r="M68" s="14" t="str">
        <x:v>next_cycle_pending</x:v>
      </x:c>
      <x:c r="N68" s="14" t="str">
        <x:v>program_identity_only</x:v>
      </x:c>
      <x:c r="O68" s="14" t="str">
        <x:f>IF(N68="cycle_ready","周期可发布","仅项目身份")</x:f>
        <x:v>仅项目身份</x:v>
      </x:c>
      <x:c r="P68" s="14" t="str">
        <x:v>The official program page requires applicants to be non-Chinese citizens.</x:v>
      </x:c>
      <x:c r="Q68" s="14" t="str">
        <x:v>The page directs self-sponsored applicants to NJU's master's application instructions.</x:v>
      </x:c>
      <x:c r="R68" s="14" t="str">
        <x:v>https://hwxy.nju.edu.cn/English/StudyatNJU/Admissions/DegreeProgramsTaughtinEnglish/20251226/i354813.html</x:v>
      </x:c>
      <x:c r="S68" s="14" t="str">
        <x:v>https://hwxy.nju.edu.cn/English/StudyatNJU/Admissions/DegreeProgramsTaughtinEnglish/index.html</x:v>
      </x:c>
      <x:c r="T68" s="16" t="n">
        <x:v>46229</x:v>
      </x:c>
      <x:c r="U68" s="14" t="str">
        <x:v>central-south-02.json</x:v>
      </x:c>
    </x:row>
    <x:row r="69">
      <x:c r="A69" s="14" t="n">
        <x:v>66</x:v>
      </x:c>
      <x:c r="B69" s="14" t="str">
        <x:v>苏州大学</x:v>
      </x:c>
      <x:c r="C69" s="14" t="str">
        <x:v>Soochow University</x:v>
      </x:c>
      <x:c r="D69" s="14" t="str">
        <x:v>Jiangsu</x:v>
      </x:c>
      <x:c r="E69" s="14" t="str">
        <x:v>国际中文教师奖学金一学期研修生：国际中文教育、汉语言文学</x:v>
      </x:c>
      <x:c r="F69" s="14" t="str">
        <x:v>International Chinese Language Teachers Scholarship — One-Semester Chinese Language Education and Literature</x:v>
      </x:c>
      <x:c r="G69" s="14" t="str">
        <x:v>language</x:v>
      </x:c>
      <x:c r="H69" s="14" t="str">
        <x:v>not_applicable</x:v>
      </x:c>
      <x:c r="I69" s="14" t="str">
        <x:v>Chinese</x:v>
      </x:c>
      <x:c r="J69" s="14" t="str">
        <x:v>2027 Spring</x:v>
      </x:c>
      <x:c r="K69" s="16" t="n">
        <x:v>46082</x:v>
      </x:c>
      <x:c r="L69" s="16" t="n">
        <x:v>46326</x:v>
      </x:c>
      <x:c r="M69" s="14" t="str">
        <x:v>open</x:v>
      </x:c>
      <x:c r="N69" s="14" t="str">
        <x:v>cycle_ready</x:v>
      </x:c>
      <x:c r="O69" s="14" t="str">
        <x:f>IF(N69="cycle_ready","周期可发布","仅项目身份")</x:f>
        <x:v>周期可发布</x:v>
      </x:c>
      <x:c r="P69" s="14" t="str">
        <x:v>The official guide requires applicants to be non-Chinese citizens.</x:v>
      </x:c>
      <x:c r="Q69" s="14" t="str">
        <x:v>Applicants register and upload materials through the official scholarship portal.</x:v>
      </x:c>
      <x:c r="R69" s="14" t="str">
        <x:v>https://oversea.suda.edu.cn/oversea_en/bb/fd/c11345a441341/page.htm</x:v>
      </x:c>
      <x:c r="S69" s="14" t="str">
        <x:v>https://oversea.suda.edu.cn/oversea_en/11341/list.htm</x:v>
      </x:c>
      <x:c r="T69" s="16" t="n">
        <x:v>46229</x:v>
      </x:c>
      <x:c r="U69" s="14" t="str">
        <x:v>central-south-01.json</x:v>
      </x:c>
    </x:row>
    <x:row r="70">
      <x:c r="A70" s="14" t="n">
        <x:v>67</x:v>
      </x:c>
      <x:c r="B70" s="14" t="str">
        <x:v>东南大学</x:v>
      </x:c>
      <x:c r="C70" s="14" t="str">
        <x:v>Southeast University</x:v>
      </x:c>
      <x:c r="D70" s="14" t="str">
        <x:v>Jiangsu</x:v>
      </x:c>
      <x:c r="E70" s="14" t="str">
        <x:v>建筑学（英文授课本科）</x:v>
      </x:c>
      <x:c r="F70" s="14" t="str">
        <x:v>English-Taught Undergraduate Program in Architecture</x:v>
      </x:c>
      <x:c r="G70" s="14" t="str">
        <x:v>degree</x:v>
      </x:c>
      <x:c r="H70" s="14" t="str">
        <x:v>bachelor</x:v>
      </x:c>
      <x:c r="I70" s="14" t="str">
        <x:v>English</x:v>
      </x:c>
      <x:c r="J70" s="14" t="str">
        <x:v>not_applicable</x:v>
      </x:c>
      <x:c r="K70" s="16"/>
      <x:c r="L70" s="16"/>
      <x:c r="M70" s="14" t="str">
        <x:v>next_cycle_pending</x:v>
      </x:c>
      <x:c r="N70" s="14" t="str">
        <x:v>program_identity_only</x:v>
      </x:c>
      <x:c r="O70" s="14" t="str">
        <x:f>IF(N70="cycle_ready","周期可发布","仅项目身份")</x:f>
        <x:v>仅项目身份</x:v>
      </x:c>
      <x:c r="P70" s="14" t="str">
        <x:v>The official international undergraduate catalog lists the English-taught Architecture program.</x:v>
      </x:c>
      <x:c r="Q70" s="14" t="str">
        <x:v>The CIS admissions site provides a direct online application system.</x:v>
      </x:c>
      <x:c r="R70" s="14" t="str">
        <x:v>https://cis.seu.edu.cn/hwenglish/2009/1222/c2855a30510/page.htm</x:v>
      </x:c>
      <x:c r="S70" s="14" t="str">
        <x:v>https://cis.seu.edu.cn/hwenglish/2855/list.htm</x:v>
      </x:c>
      <x:c r="T70" s="16" t="n">
        <x:v>46229</x:v>
      </x:c>
      <x:c r="U70" s="14" t="str">
        <x:v>central-south-02.json</x:v>
      </x:c>
    </x:row>
    <x:row r="71">
      <x:c r="A71" s="14" t="n">
        <x:v>68</x:v>
      </x:c>
      <x:c r="B71" s="14" t="str">
        <x:v>南京师范大学</x:v>
      </x:c>
      <x:c r="C71" s="14" t="str">
        <x:v>Nanjing Normal University</x:v>
      </x:c>
      <x:c r="D71" s="14" t="str">
        <x:v>Jiangsu</x:v>
      </x:c>
      <x:c r="E71" s="14" t="str">
        <x:v>化学（英文授课硕士）</x:v>
      </x:c>
      <x:c r="F71" s="14" t="str">
        <x:v>Master's Program in Chemistry</x:v>
      </x:c>
      <x:c r="G71" s="14" t="str">
        <x:v>degree</x:v>
      </x:c>
      <x:c r="H71" s="14" t="str">
        <x:v>master</x:v>
      </x:c>
      <x:c r="I71" s="14" t="str">
        <x:v>English</x:v>
      </x:c>
      <x:c r="J71" s="14" t="str">
        <x:v>not_applicable</x:v>
      </x:c>
      <x:c r="K71" s="16"/>
      <x:c r="L71" s="16"/>
      <x:c r="M71" s="14" t="str">
        <x:v>next_cycle_pending</x:v>
      </x:c>
      <x:c r="N71" s="14" t="str">
        <x:v>program_identity_only</x:v>
      </x:c>
      <x:c r="O71" s="14" t="str">
        <x:f>IF(N71="cycle_ready","周期可发布","仅项目身份")</x:f>
        <x:v>仅项目身份</x:v>
      </x:c>
      <x:c r="P71" s="14" t="str">
        <x:v>The official 2026 international guide lists Chemistry among English-taught master's programs.</x:v>
      </x:c>
      <x:c r="Q71" s="14" t="str">
        <x:v>The guide directs applicants to NJNU's online international student system.</x:v>
      </x:c>
      <x:c r="R71" s="14" t="str">
        <x:v>https://gjc.njnu.edu.cn/info/1035/6324.htm</x:v>
      </x:c>
      <x:c r="S71" s="14" t="str">
        <x:v>https://en.njnu.edu.cn/admissions/programs</x:v>
      </x:c>
      <x:c r="T71" s="16" t="n">
        <x:v>46229</x:v>
      </x:c>
      <x:c r="U71" s="14" t="str">
        <x:v>central-south-02.json</x:v>
      </x:c>
    </x:row>
    <x:row r="72">
      <x:c r="A72" s="14" t="n">
        <x:v>69</x:v>
      </x:c>
      <x:c r="B72" s="14" t="str">
        <x:v>厦门大学</x:v>
      </x:c>
      <x:c r="C72" s="14" t="str">
        <x:v>Xiamen University</x:v>
      </x:c>
      <x:c r="D72" s="14" t="str">
        <x:v>Fujian</x:v>
      </x:c>
      <x:c r="E72" s="14" t="str">
        <x:v>Environmental Design</x:v>
      </x:c>
      <x:c r="F72" s="14" t="str">
        <x:v>Environmental Design</x:v>
      </x:c>
      <x:c r="G72" s="14" t="str">
        <x:v>degree</x:v>
      </x:c>
      <x:c r="H72" s="14" t="str">
        <x:v>bachelor</x:v>
      </x:c>
      <x:c r="I72" s="14" t="str">
        <x:v>English</x:v>
      </x:c>
      <x:c r="J72" s="14" t="str">
        <x:v>not_applicable</x:v>
      </x:c>
      <x:c r="K72" s="16"/>
      <x:c r="L72" s="16"/>
      <x:c r="M72" s="14" t="str">
        <x:v>next_cycle_pending</x:v>
      </x:c>
      <x:c r="N72" s="14" t="str">
        <x:v>program_identity_only</x:v>
      </x:c>
      <x:c r="O72" s="14" t="str">
        <x:f>IF(N72="cycle_ready","周期可发布","仅项目身份")</x:f>
        <x:v>仅项目身份</x:v>
      </x:c>
      <x:c r="P72" s="14" t="str">
        <x:v>The official catalog is specifically for international undergraduate applicants.</x:v>
      </x:c>
      <x:c r="Q72" s="14" t="str">
        <x:v>XMU's international admissions guide links its online application system.</x:v>
      </x:c>
      <x:c r="R72" s="14" t="str">
        <x:v>https://admissions.xmu.edu.cn/Programs/English_Medium_Bachelor_s.htm</x:v>
      </x:c>
      <x:c r="S72" s="14" t="str">
        <x:v>https://admissions.xmu.edu.cn/Admissions/Undergraduate_Students.htm</x:v>
      </x:c>
      <x:c r="T72" s="16" t="n">
        <x:v>46229</x:v>
      </x:c>
      <x:c r="U72" s="14" t="str">
        <x:v>west-coast-01.json</x:v>
      </x:c>
    </x:row>
    <x:row r="73">
      <x:c r="A73" s="14" t="n">
        <x:v>70</x:v>
      </x:c>
      <x:c r="B73" s="14" t="str">
        <x:v>武汉大学</x:v>
      </x:c>
      <x:c r="C73" s="14" t="str">
        <x:v>Wuhan University</x:v>
      </x:c>
      <x:c r="D73" s="14" t="str">
        <x:v>Hubei</x:v>
      </x:c>
      <x:c r="E73" s="14" t="str">
        <x:v>公共卫生硕士（全球健康方向）</x:v>
      </x:c>
      <x:c r="F73" s="14" t="str">
        <x:v>Master of Public Health (Global Health Track)</x:v>
      </x:c>
      <x:c r="G73" s="14" t="str">
        <x:v>degree</x:v>
      </x:c>
      <x:c r="H73" s="14" t="str">
        <x:v>master</x:v>
      </x:c>
      <x:c r="I73" s="14" t="str">
        <x:v>English</x:v>
      </x:c>
      <x:c r="J73" s="14" t="str">
        <x:v>not_applicable</x:v>
      </x:c>
      <x:c r="K73" s="16"/>
      <x:c r="L73" s="16"/>
      <x:c r="M73" s="14" t="str">
        <x:v>next_cycle_pending</x:v>
      </x:c>
      <x:c r="N73" s="14" t="str">
        <x:v>program_identity_only</x:v>
      </x:c>
      <x:c r="O73" s="14" t="str">
        <x:f>IF(N73="cycle_ready","周期可发布","仅项目身份")</x:f>
        <x:v>仅项目身份</x:v>
      </x:c>
      <x:c r="P73" s="14" t="str">
        <x:v>The official page describes an English-taught degree for international students coming to China.</x:v>
      </x:c>
      <x:c r="Q73" s="14" t="str">
        <x:v>The official graduate guide provides Wuhan University's individual online application route.</x:v>
      </x:c>
      <x:c r="R73" s="14" t="str">
        <x:v>https://admission.whu.edu.cn/info/1131/5892.htm</x:v>
      </x:c>
      <x:c r="S73" s="14" t="str">
        <x:v>https://admission.whu.edu.cn/info/1131/5822.htm</x:v>
      </x:c>
      <x:c r="T73" s="16" t="n">
        <x:v>46229</x:v>
      </x:c>
      <x:c r="U73" s="14" t="str">
        <x:v>central-south-02.json</x:v>
      </x:c>
    </x:row>
    <x:row r="74">
      <x:c r="A74" s="14" t="n">
        <x:v>71</x:v>
      </x:c>
      <x:c r="B74" s="14" t="str">
        <x:v>华中科技大学</x:v>
      </x:c>
      <x:c r="C74" s="14" t="str">
        <x:v>Huazhong University of Science and Technology</x:v>
      </x:c>
      <x:c r="D74" s="14" t="str">
        <x:v>Hubei</x:v>
      </x:c>
      <x:c r="E74" s="14" t="str">
        <x:v>计算机科学与技术（英文授课硕士）</x:v>
      </x:c>
      <x:c r="F74" s="14" t="str">
        <x:v>Master's Program in Computer Science and Technology</x:v>
      </x:c>
      <x:c r="G74" s="14" t="str">
        <x:v>degree</x:v>
      </x:c>
      <x:c r="H74" s="14" t="str">
        <x:v>master</x:v>
      </x:c>
      <x:c r="I74" s="14" t="str">
        <x:v>English</x:v>
      </x:c>
      <x:c r="J74" s="14" t="str">
        <x:v>not_applicable</x:v>
      </x:c>
      <x:c r="K74" s="16"/>
      <x:c r="L74" s="16"/>
      <x:c r="M74" s="14" t="str">
        <x:v>next_cycle_pending</x:v>
      </x:c>
      <x:c r="N74" s="14" t="str">
        <x:v>program_identity_only</x:v>
      </x:c>
      <x:c r="O74" s="14" t="str">
        <x:f>IF(N74="cycle_ready","周期可发布","仅项目身份")</x:f>
        <x:v>仅项目身份</x:v>
      </x:c>
      <x:c r="P74" s="14" t="str">
        <x:v>The official 2026 catalog lists Computer Science and Technology for international master's applicants.</x:v>
      </x:c>
      <x:c r="Q74" s="14" t="str">
        <x:v>The graduate guide directs applicants to HUST's online application system.</x:v>
      </x:c>
      <x:c r="R74" s="14" t="str">
        <x:v>https://iso.hust.edu.cn/2026English-MediumProgams.pdf</x:v>
      </x:c>
      <x:c r="S74" s="14" t="str">
        <x:v>https://iso.hust.edu.cn/info/1194/4653.htm</x:v>
      </x:c>
      <x:c r="T74" s="16" t="n">
        <x:v>46229</x:v>
      </x:c>
      <x:c r="U74" s="14" t="str">
        <x:v>central-south-02.json</x:v>
      </x:c>
    </x:row>
    <x:row r="75">
      <x:c r="A75" s="14" t="n">
        <x:v>72</x:v>
      </x:c>
      <x:c r="B75" s="14" t="str">
        <x:v>中山大学</x:v>
      </x:c>
      <x:c r="C75" s="14" t="str">
        <x:v>Sun Yat-sen University</x:v>
      </x:c>
      <x:c r="D75" s="14" t="str">
        <x:v>Guangdong</x:v>
      </x:c>
      <x:c r="E75" s="14" t="str">
        <x:v>中山大学国际学生预科项目（一学期制）</x:v>
      </x:c>
      <x:c r="F75" s="14" t="str">
        <x:v>One-Semester Pre-university Program</x:v>
      </x:c>
      <x:c r="G75" s="14" t="str">
        <x:v>foundation</x:v>
      </x:c>
      <x:c r="H75" s="14" t="str">
        <x:v>not_applicable</x:v>
      </x:c>
      <x:c r="I75" s="14" t="str">
        <x:v>Chinese</x:v>
      </x:c>
      <x:c r="J75" s="14" t="str">
        <x:v>February 2027 (expected)</x:v>
      </x:c>
      <x:c r="K75" s="16"/>
      <x:c r="L75" s="16" t="n">
        <x:v>46234</x:v>
      </x:c>
      <x:c r="M75" s="14" t="str">
        <x:v>open</x:v>
      </x:c>
      <x:c r="N75" s="14" t="str">
        <x:v>cycle_ready</x:v>
      </x:c>
      <x:c r="O75" s="14" t="str">
        <x:f>IF(N75="cycle_ready","周期可发布","仅项目身份")</x:f>
        <x:v>周期可发布</x:v>
      </x:c>
      <x:c r="P75" s="14" t="str">
        <x:v>The official guide requires applicants to be non-Chinese citizens.</x:v>
      </x:c>
      <x:c r="Q75" s="14" t="str">
        <x:v>Applicants submit directly through SYSU's international online application system.</x:v>
      </x:c>
      <x:c r="R75" s="14" t="str">
        <x:v>https://iso.sysu.edu.cn/en/application/nondegree/1421644.htm</x:v>
      </x:c>
      <x:c r="S75" s="14" t="str">
        <x:v>https://iso.sysu.edu.cn/en/application/guide/index.htm</x:v>
      </x:c>
      <x:c r="T75" s="16" t="n">
        <x:v>46229</x:v>
      </x:c>
      <x:c r="U75" s="14" t="str">
        <x:v>west-coast-01.json</x:v>
      </x:c>
    </x:row>
    <x:row r="76">
      <x:c r="A76" s="14" t="n">
        <x:v>73</x:v>
      </x:c>
      <x:c r="B76" s="14" t="str">
        <x:v>四川大学</x:v>
      </x:c>
      <x:c r="C76" s="14" t="str">
        <x:v>Sichuan University</x:v>
      </x:c>
      <x:c r="D76" s="14" t="str">
        <x:v>Sichuan</x:v>
      </x:c>
      <x:c r="E76" s="14" t="str">
        <x:v>Civil Engineering Course Introduction</x:v>
      </x:c>
      <x:c r="F76" s="14" t="str">
        <x:v>Civil Engineering Semester and Academic Year Program</x:v>
      </x:c>
      <x:c r="G76" s="14" t="str">
        <x:v>short_term</x:v>
      </x:c>
      <x:c r="H76" s="14" t="str">
        <x:v>not_applicable</x:v>
      </x:c>
      <x:c r="I76" s="14" t="str">
        <x:v>source_language</x:v>
      </x:c>
      <x:c r="J76" s="14" t="str">
        <x:v>not_applicable</x:v>
      </x:c>
      <x:c r="K76" s="16"/>
      <x:c r="L76" s="16"/>
      <x:c r="M76" s="14" t="str">
        <x:v>next_cycle_pending</x:v>
      </x:c>
      <x:c r="N76" s="14" t="str">
        <x:v>program_identity_only</x:v>
      </x:c>
      <x:c r="O76" s="14" t="str">
        <x:f>IF(N76="cycle_ready","周期可发布","仅项目身份")</x:f>
        <x:v>仅项目身份</x:v>
      </x:c>
      <x:c r="P76" s="14" t="str">
        <x:v>SCU lists this course on its official overseas-student program page.</x:v>
      </x:c>
      <x:c r="Q76" s="14" t="str">
        <x:v>Applicants submit through SCU's international online application system.</x:v>
      </x:c>
      <x:c r="R76" s="14" t="str">
        <x:v>https://global.scu.edu.cn/oso/article/index/1123</x:v>
      </x:c>
      <x:c r="S76" s="14" t="str">
        <x:v>https://global.scu.edu.cn/oso/article/index/5</x:v>
      </x:c>
      <x:c r="T76" s="16" t="n">
        <x:v>46229</x:v>
      </x:c>
      <x:c r="U76" s="14" t="str">
        <x:v>west-coast-01.json</x:v>
      </x:c>
    </x:row>
    <x:row r="77">
      <x:c r="A77" s="14" t="n">
        <x:v>74</x:v>
      </x:c>
      <x:c r="B77" s="14" t="str">
        <x:v>重庆大学</x:v>
      </x:c>
      <x:c r="C77" s="14" t="str">
        <x:v>Chongqing University</x:v>
      </x:c>
      <x:c r="D77" s="14" t="str">
        <x:v>Chongqing</x:v>
      </x:c>
      <x:c r="E77" s="14" t="str">
        <x:v>Electrical Engineering and Automation</x:v>
      </x:c>
      <x:c r="F77" s="14" t="str">
        <x:v>Electrical Engineering and Automation</x:v>
      </x:c>
      <x:c r="G77" s="14" t="str">
        <x:v>degree</x:v>
      </x:c>
      <x:c r="H77" s="14" t="str">
        <x:v>bachelor</x:v>
      </x:c>
      <x:c r="I77" s="14" t="str">
        <x:v>English</x:v>
      </x:c>
      <x:c r="J77" s="14" t="str">
        <x:v>not_applicable</x:v>
      </x:c>
      <x:c r="K77" s="16"/>
      <x:c r="L77" s="16"/>
      <x:c r="M77" s="14" t="str">
        <x:v>next_cycle_pending</x:v>
      </x:c>
      <x:c r="N77" s="14" t="str">
        <x:v>program_identity_only</x:v>
      </x:c>
      <x:c r="O77" s="14" t="str">
        <x:f>IF(N77="cycle_ready","周期可发布","仅项目身份")</x:f>
        <x:v>仅项目身份</x:v>
      </x:c>
      <x:c r="P77" s="14" t="str">
        <x:v>CQU lists this English-taught major in its official international-student fee table.</x:v>
      </x:c>
      <x:c r="Q77" s="14" t="str">
        <x:v>The official guide directs applicants to CQU's online application system.</x:v>
      </x:c>
      <x:c r="R77" s="14" t="str">
        <x:v>https://study.cqu.edu.cn/HOME/ADMISSION/Overview/Tuition_and_Accommodation_Fees.htm</x:v>
      </x:c>
      <x:c r="S77" s="14" t="str">
        <x:v>https://study.cqu.edu.cn/info/1887/2789.htm</x:v>
      </x:c>
      <x:c r="T77" s="16" t="n">
        <x:v>46229</x:v>
      </x:c>
      <x:c r="U77" s="14" t="str">
        <x:v>west-coast-01.json</x:v>
      </x:c>
    </x:row>
    <x:row r="78">
      <x:c r="A78" s="14" t="n">
        <x:v>75</x:v>
      </x:c>
      <x:c r="B78" s="14" t="str">
        <x:v>电子科技大学</x:v>
      </x:c>
      <x:c r="C78" s="14" t="str">
        <x:v>University of Electronic Science and Technology of China</x:v>
      </x:c>
      <x:c r="D78" s="14" t="str">
        <x:v>Sichuan</x:v>
      </x:c>
      <x:c r="E78" s="14" t="str">
        <x:v>Master Program (for International Students) in Electrical Engineering</x:v>
      </x:c>
      <x:c r="F78" s="14" t="str">
        <x:v>Electrical Engineering</x:v>
      </x:c>
      <x:c r="G78" s="14" t="str">
        <x:v>degree</x:v>
      </x:c>
      <x:c r="H78" s="14" t="str">
        <x:v>master</x:v>
      </x:c>
      <x:c r="I78" s="14" t="str">
        <x:v>English</x:v>
      </x:c>
      <x:c r="J78" s="14" t="str">
        <x:v>not_applicable</x:v>
      </x:c>
      <x:c r="K78" s="16"/>
      <x:c r="L78" s="16"/>
      <x:c r="M78" s="14" t="str">
        <x:v>next_cycle_pending</x:v>
      </x:c>
      <x:c r="N78" s="14" t="str">
        <x:v>program_identity_only</x:v>
      </x:c>
      <x:c r="O78" s="14" t="str">
        <x:f>IF(N78="cycle_ready","周期可发布","仅项目身份")</x:f>
        <x:v>仅项目身份</x:v>
      </x:c>
      <x:c r="P78" s="14" t="str">
        <x:v>The official curriculum explicitly identifies this as an international-student master's program.</x:v>
      </x:c>
      <x:c r="Q78" s="14" t="str">
        <x:v>The 2026 brochure directs applicants to UESTC's online admission system.</x:v>
      </x:c>
      <x:c r="R78" s="14" t="str">
        <x:v>https://en.uestc.edu.cn/__local/9/5D/43/C192A61151F90C9BBF928D01545_7B6309E1_FF58B.pdf</x:v>
      </x:c>
      <x:c r="S78" s="14" t="str">
        <x:v>https://en.uestc.edu.cn/UESTC_Admission_Brochure-EN.pdf</x:v>
      </x:c>
      <x:c r="T78" s="16" t="n">
        <x:v>46229</x:v>
      </x:c>
      <x:c r="U78" s="14" t="str">
        <x:v>west-coast-01.json</x:v>
      </x:c>
    </x:row>
    <x:row r="79">
      <x:c r="A79" s="14" t="n">
        <x:v>76</x:v>
      </x:c>
      <x:c r="B79" s="14" t="str">
        <x:v>西安交通大学</x:v>
      </x:c>
      <x:c r="C79" s="14" t="str">
        <x:v>Xi'an Jiaotong University</x:v>
      </x:c>
      <x:c r="D79" s="14" t="str">
        <x:v>Shaanxi</x:v>
      </x:c>
      <x:c r="E79" s="14" t="str">
        <x:v>Energy and Power Engineering</x:v>
      </x:c>
      <x:c r="F79" s="14" t="str">
        <x:v>Energy and Power Engineering</x:v>
      </x:c>
      <x:c r="G79" s="14" t="str">
        <x:v>degree</x:v>
      </x:c>
      <x:c r="H79" s="14" t="str">
        <x:v>bachelor</x:v>
      </x:c>
      <x:c r="I79" s="14" t="str">
        <x:v>English</x:v>
      </x:c>
      <x:c r="J79" s="14" t="str">
        <x:v>not_applicable</x:v>
      </x:c>
      <x:c r="K79" s="16"/>
      <x:c r="L79" s="16"/>
      <x:c r="M79" s="14" t="str">
        <x:v>next_cycle_pending</x:v>
      </x:c>
      <x:c r="N79" s="14" t="str">
        <x:v>program_identity_only</x:v>
      </x:c>
      <x:c r="O79" s="14" t="str">
        <x:f>IF(N79="cycle_ready","周期可发布","仅项目身份")</x:f>
        <x:v>仅项目身份</x:v>
      </x:c>
      <x:c r="P79" s="14" t="str">
        <x:v>The official catalog lists this English-taught program for international undergraduates.</x:v>
      </x:c>
      <x:c r="Q79" s="14" t="str">
        <x:v>Applicants submit directly through XJTU's international online application system.</x:v>
      </x:c>
      <x:c r="R79" s="14" t="str">
        <x:v>https://sie.xjtu.edu.cn/en/Intl.pdf</x:v>
      </x:c>
      <x:c r="S79" s="14" t="str">
        <x:v>https://sie.xjtu.edu.cn/en/Programs/Degree_Program/Bachelor_Program.htm</x:v>
      </x:c>
      <x:c r="T79" s="16" t="n">
        <x:v>46229</x:v>
      </x:c>
      <x:c r="U79" s="14" t="str">
        <x:v>west-coast-02.json</x:v>
      </x:c>
    </x:row>
    <x:row r="80">
      <x:c r="A80" s="14" t="n">
        <x:v>77</x:v>
      </x:c>
      <x:c r="B80" s="14" t="str">
        <x:v>西北工业大学</x:v>
      </x:c>
      <x:c r="C80" s="14" t="str">
        <x:v>Northwestern Polytechnical University</x:v>
      </x:c>
      <x:c r="D80" s="14" t="str">
        <x:v>Shaanxi</x:v>
      </x:c>
      <x:c r="E80" s="14" t="str">
        <x:v>Computer Science and Technology</x:v>
      </x:c>
      <x:c r="F80" s="14" t="str">
        <x:v>Computer Science and Technology</x:v>
      </x:c>
      <x:c r="G80" s="14" t="str">
        <x:v>degree</x:v>
      </x:c>
      <x:c r="H80" s="14" t="str">
        <x:v>bachelor</x:v>
      </x:c>
      <x:c r="I80" s="14" t="str">
        <x:v>English</x:v>
      </x:c>
      <x:c r="J80" s="14" t="str">
        <x:v>not_applicable</x:v>
      </x:c>
      <x:c r="K80" s="16"/>
      <x:c r="L80" s="16"/>
      <x:c r="M80" s="14" t="str">
        <x:v>next_cycle_pending</x:v>
      </x:c>
      <x:c r="N80" s="14" t="str">
        <x:v>program_identity_only</x:v>
      </x:c>
      <x:c r="O80" s="14" t="str">
        <x:f>IF(N80="cycle_ready","周期可发布","仅项目身份")</x:f>
        <x:v>仅项目身份</x:v>
      </x:c>
      <x:c r="P80" s="14" t="str">
        <x:v>NPU's official 2026 catalog lists this major for international undergraduate students.</x:v>
      </x:c>
      <x:c r="Q80" s="14" t="str">
        <x:v>The official guide links NPU's direct online application portal.</x:v>
      </x:c>
      <x:c r="R80" s="14" t="str">
        <x:v>https://studyat.nwpu.edu.cn/info/1203/5301.htm</x:v>
      </x:c>
      <x:c r="S80" s="14" t="str">
        <x:v>https://studyat.nwpu.edu.cn/info/1184/3541.htm</x:v>
      </x:c>
      <x:c r="T80" s="16" t="n">
        <x:v>46229</x:v>
      </x:c>
      <x:c r="U80" s="14" t="str">
        <x:v>west-coast-02.json</x:v>
      </x:c>
    </x:row>
    <x:row r="81">
      <x:c r="A81" s="14" t="n">
        <x:v>78</x:v>
      </x:c>
      <x:c r="B81" s="14" t="str">
        <x:v>西安电子科技大学</x:v>
      </x:c>
      <x:c r="C81" s="14" t="str">
        <x:v>Xidian University</x:v>
      </x:c>
      <x:c r="D81" s="14" t="str">
        <x:v>Shaanxi</x:v>
      </x:c>
      <x:c r="E81" s="14" t="str">
        <x:v>电子科学与技术</x:v>
      </x:c>
      <x:c r="F81" s="14" t="str">
        <x:v>Electronic Science and Technology</x:v>
      </x:c>
      <x:c r="G81" s="14" t="str">
        <x:v>degree</x:v>
      </x:c>
      <x:c r="H81" s="14" t="str">
        <x:v>master</x:v>
      </x:c>
      <x:c r="I81" s="14" t="str">
        <x:v>Chinese / English</x:v>
      </x:c>
      <x:c r="J81" s="14" t="str">
        <x:v>not_applicable</x:v>
      </x:c>
      <x:c r="K81" s="16"/>
      <x:c r="L81" s="16"/>
      <x:c r="M81" s="14" t="str">
        <x:v>next_cycle_pending</x:v>
      </x:c>
      <x:c r="N81" s="14" t="str">
        <x:v>program_identity_only</x:v>
      </x:c>
      <x:c r="O81" s="14" t="str">
        <x:f>IF(N81="cycle_ready","周期可发布","仅项目身份")</x:f>
        <x:v>仅项目身份</x:v>
      </x:c>
      <x:c r="P81" s="14" t="str">
        <x:v>The official international master catalog lists this discipline and its teaching languages.</x:v>
      </x:c>
      <x:c r="Q81" s="14" t="str">
        <x:v>Xidian publishes an official 2026 international master application guide.</x:v>
      </x:c>
      <x:c r="R81" s="14" t="str">
        <x:v>https://sie.xidian.edu.cn/lhlx/zsjz/yjsxm/zszy/ssyjsxlxm/dzgcxy.htm</x:v>
      </x:c>
      <x:c r="S81" s="14" t="str">
        <x:v>https://sie.xidian.edu.cn/lhlx/zsjz/yjsxm/zsjz2.htm</x:v>
      </x:c>
      <x:c r="T81" s="16" t="n">
        <x:v>46229</x:v>
      </x:c>
      <x:c r="U81" s="14" t="str">
        <x:v>west-coast-02.json</x:v>
      </x:c>
    </x:row>
    <x:row r="82">
      <x:c r="A82" s="14" t="n">
        <x:v>79</x:v>
      </x:c>
      <x:c r="B82" s="14" t="str">
        <x:v>西北农林科技大学</x:v>
      </x:c>
      <x:c r="C82" s="14" t="str">
        <x:v>Northwest A&amp;F University</x:v>
      </x:c>
      <x:c r="D82" s="14" t="str">
        <x:v>Shaanxi</x:v>
      </x:c>
      <x:c r="E82" s="14" t="str">
        <x:v>作物遗传育种</x:v>
      </x:c>
      <x:c r="F82" s="14" t="str">
        <x:v>Plant Genetics Breeding</x:v>
      </x:c>
      <x:c r="G82" s="14" t="str">
        <x:v>degree</x:v>
      </x:c>
      <x:c r="H82" s="14" t="str">
        <x:v>master</x:v>
      </x:c>
      <x:c r="I82" s="14" t="str">
        <x:v>English</x:v>
      </x:c>
      <x:c r="J82" s="14" t="str">
        <x:v>not_applicable</x:v>
      </x:c>
      <x:c r="K82" s="16"/>
      <x:c r="L82" s="16"/>
      <x:c r="M82" s="14" t="str">
        <x:v>next_cycle_pending</x:v>
      </x:c>
      <x:c r="N82" s="14" t="str">
        <x:v>program_identity_only</x:v>
      </x:c>
      <x:c r="O82" s="14" t="str">
        <x:f>IF(N82="cycle_ready","周期可发布","仅项目身份")</x:f>
        <x:v>仅项目身份</x:v>
      </x:c>
      <x:c r="P82" s="14" t="str">
        <x:v>The official 2026 English-medium catalog lists this international master's major.</x:v>
      </x:c>
      <x:c r="Q82" s="14" t="str">
        <x:v>The official guide directs applicants to the university's international application system.</x:v>
      </x:c>
      <x:c r="R82" s="14" t="str">
        <x:v>https://gjs.nwafu.edu.cn/en/ApplicationGuide/4f03a1c38a2341bd969eb38667f9b662.htm</x:v>
      </x:c>
      <x:c r="S82" s="14" t="str">
        <x:v>https://gjs.nwafu.edu.cn/sqzn/0cd426af2fd646e2ad4ac522e3b75569.htm</x:v>
      </x:c>
      <x:c r="T82" s="16" t="n">
        <x:v>46229</x:v>
      </x:c>
      <x:c r="U82" s="14" t="str">
        <x:v>west-coast-02.json</x:v>
      </x:c>
    </x:row>
    <x:row r="83">
      <x:c r="A83" s="14" t="n">
        <x:v>80</x:v>
      </x:c>
      <x:c r="B83" s="14" t="str">
        <x:v>兰州大学</x:v>
      </x:c>
      <x:c r="C83" s="14" t="str">
        <x:v>Lanzhou University</x:v>
      </x:c>
      <x:c r="D83" s="14" t="str">
        <x:v>Gansu</x:v>
      </x:c>
      <x:c r="E83" s="14" t="str">
        <x:v>应用气象学</x:v>
      </x:c>
      <x:c r="F83" s="14" t="str">
        <x:v>Applied Meteorology</x:v>
      </x:c>
      <x:c r="G83" s="14" t="str">
        <x:v>degree</x:v>
      </x:c>
      <x:c r="H83" s="14" t="str">
        <x:v>bachelor</x:v>
      </x:c>
      <x:c r="I83" s="14" t="str">
        <x:v>Chinese</x:v>
      </x:c>
      <x:c r="J83" s="14" t="str">
        <x:v>not_applicable</x:v>
      </x:c>
      <x:c r="K83" s="16"/>
      <x:c r="L83" s="16"/>
      <x:c r="M83" s="14" t="str">
        <x:v>next_cycle_pending</x:v>
      </x:c>
      <x:c r="N83" s="14" t="str">
        <x:v>program_identity_only</x:v>
      </x:c>
      <x:c r="O83" s="14" t="str">
        <x:f>IF(N83="cycle_ready","周期可发布","仅项目身份")</x:f>
        <x:v>仅项目身份</x:v>
      </x:c>
      <x:c r="P83" s="14" t="str">
        <x:v>LZU's official 2026 international undergraduate XLSX lists this program.</x:v>
      </x:c>
      <x:c r="Q83" s="14" t="str">
        <x:v>The official guide directs applicants to LZU's international online application system.</x:v>
      </x:c>
      <x:c r="R83" s="14" t="str">
        <x:v>https://sice.lzu.edu.cn/hdapp/bas/col.php?sn=bkxmjs</x:v>
      </x:c>
      <x:c r="S83" s="14" t="str">
        <x:v>https://sice.lzu.edu.cn/hdupf/fil/202511/202511211763710250213099.xlsx</x:v>
      </x:c>
      <x:c r="T83" s="16" t="n">
        <x:v>46229</x:v>
      </x:c>
      <x:c r="U83" s="14" t="str">
        <x:v>west-coast-02.json</x:v>
      </x:c>
    </x:row>
    <x:row r="84">
      <x:c r="A84" s="14" t="n">
        <x:v>81</x:v>
      </x:c>
      <x:c r="B84" s="14" t="str">
        <x:v>中国人民大学</x:v>
      </x:c>
      <x:c r="C84" s="14" t="str">
        <x:v>Renmin University of China</x:v>
      </x:c>
      <x:c r="D84" s="14" t="str">
        <x:v>Beijing</x:v>
      </x:c>
      <x:c r="E84" s="14" t="str">
        <x:v>International Communication — Senior Visiting Program</x:v>
      </x:c>
      <x:c r="F84" s="14" t="str">
        <x:v>International Communication — Senior Visiting Program</x:v>
      </x:c>
      <x:c r="G84" s="14" t="str">
        <x:v>visiting</x:v>
      </x:c>
      <x:c r="H84" s="14" t="str">
        <x:v>not_applicable</x:v>
      </x:c>
      <x:c r="I84" s="14" t="str">
        <x:v>English</x:v>
      </x:c>
      <x:c r="J84" s="14" t="str">
        <x:v>Spring 2027</x:v>
      </x:c>
      <x:c r="K84" s="16" t="n">
        <x:v>46310</x:v>
      </x:c>
      <x:c r="L84" s="16" t="n">
        <x:v>46341</x:v>
      </x:c>
      <x:c r="M84" s="14" t="str">
        <x:v>future</x:v>
      </x:c>
      <x:c r="N84" s="14" t="str">
        <x:v>cycle_ready</x:v>
      </x:c>
      <x:c r="O84" s="14" t="str">
        <x:f>IF(N84="cycle_ready","周期可发布","仅项目身份")</x:f>
        <x:v>周期可发布</x:v>
      </x:c>
      <x:c r="P84" s="14" t="str">
        <x:v>The official visiting-program guide is expressly for international students and requires non-Chinese nationality.</x:v>
      </x:c>
      <x:c r="Q84" s="14" t="str">
        <x:v>Applicants submit directly through RUC's International Students Application System.</x:v>
      </x:c>
      <x:c r="R84" s="14" t="str">
        <x:v>https://iso.ruc.edu.cn/docs/2025-12/b911becc69294e3ebd5b337c5fbe70e4.pdf</x:v>
      </x:c>
      <x:c r="S84" s="14" t="str">
        <x:v>https://iso.ruc.edu.cn/docs/2025-12/1dbfbbb7263746c3836d62789faa206a.pdf</x:v>
      </x:c>
      <x:c r="T84" s="16" t="n">
        <x:v>46229</x:v>
      </x:c>
      <x:c r="U84" s="14" t="str">
        <x:v>north-east-01.json</x:v>
      </x:c>
    </x:row>
    <x:row r="85">
      <x:c r="A85" s="14" t="n">
        <x:v>82</x:v>
      </x:c>
      <x:c r="B85" s="14" t="str">
        <x:v>北京交通大学</x:v>
      </x:c>
      <x:c r="C85" s="14" t="str">
        <x:v>Beijing Jiaotong University</x:v>
      </x:c>
      <x:c r="D85" s="14" t="str">
        <x:v>Beijing</x:v>
      </x:c>
      <x:c r="E85" s="14" t="str">
        <x:v>留学生预科</x:v>
      </x:c>
      <x:c r="F85" s="14" t="str">
        <x:v>Preparatory Program for International Students</x:v>
      </x:c>
      <x:c r="G85" s="14" t="str">
        <x:v>foundation</x:v>
      </x:c>
      <x:c r="H85" s="14" t="str">
        <x:v>not_applicable</x:v>
      </x:c>
      <x:c r="I85" s="14" t="str">
        <x:v>Chinese</x:v>
      </x:c>
      <x:c r="J85" s="14" t="str">
        <x:v>not_applicable</x:v>
      </x:c>
      <x:c r="K85" s="16"/>
      <x:c r="L85" s="16"/>
      <x:c r="M85" s="14" t="str">
        <x:v>next_cycle_pending</x:v>
      </x:c>
      <x:c r="N85" s="14" t="str">
        <x:v>program_identity_only</x:v>
      </x:c>
      <x:c r="O85" s="14" t="str">
        <x:f>IF(N85="cycle_ready","周期可发布","仅项目身份")</x:f>
        <x:v>仅项目身份</x:v>
      </x:c>
      <x:c r="P85" s="14" t="str">
        <x:v>BJTU's official international-student brochure identifies this foundation program for overseas applicants.</x:v>
      </x:c>
      <x:c r="Q85" s="14" t="str">
        <x:v>BJTU's official application platform permits applicants to register and submit their own applications.</x:v>
      </x:c>
      <x:c r="R85" s="14" t="str">
        <x:v>https://www.bjtu.edu.cn/docs/2024-05/3aa28ff57e374540b43be35b3b29acc1.pdf</x:v>
      </x:c>
      <x:c r="S85" s="14" t="str">
        <x:v>https://bjtu.17gz.org/html/article_content/202603/84D3D549E1FB43AB9FBAC905EE4888FD.shtml</x:v>
      </x:c>
      <x:c r="T85" s="16" t="n">
        <x:v>46229</x:v>
      </x:c>
      <x:c r="U85" s="14" t="str">
        <x:v>north-east-02.json</x:v>
      </x:c>
    </x:row>
    <x:row r="86">
      <x:c r="A86" s="14" t="n">
        <x:v>83</x:v>
      </x:c>
      <x:c r="B86" s="14" t="str">
        <x:v>北京工业大学</x:v>
      </x:c>
      <x:c r="C86" s="14" t="str">
        <x:v>Beijing University of Technology</x:v>
      </x:c>
      <x:c r="D86" s="14" t="str">
        <x:v>Beijing</x:v>
      </x:c>
      <x:c r="E86" s="14" t="str">
        <x:v>Mechanical Engineering</x:v>
      </x:c>
      <x:c r="F86" s="14" t="str">
        <x:v>Mechanical Engineering</x:v>
      </x:c>
      <x:c r="G86" s="14" t="str">
        <x:v>degree</x:v>
      </x:c>
      <x:c r="H86" s="14" t="str">
        <x:v>bachelor</x:v>
      </x:c>
      <x:c r="I86" s="14" t="str">
        <x:v>Chinese</x:v>
      </x:c>
      <x:c r="J86" s="14" t="str">
        <x:v>not_applicable</x:v>
      </x:c>
      <x:c r="K86" s="16"/>
      <x:c r="L86" s="16"/>
      <x:c r="M86" s="14" t="str">
        <x:v>next_cycle_pending</x:v>
      </x:c>
      <x:c r="N86" s="14" t="str">
        <x:v>program_identity_only</x:v>
      </x:c>
      <x:c r="O86" s="14" t="str">
        <x:f>IF(N86="cycle_ready","周期可发布","仅项目身份")</x:f>
        <x:v>仅项目身份</x:v>
      </x:c>
      <x:c r="P86" s="14" t="str">
        <x:v>The official international undergraduate catalog lists Mechanical Engineering for non-Chinese applicants.</x:v>
      </x:c>
      <x:c r="Q86" s="14" t="str">
        <x:v>Applicants complete and submit the application through BJUT's online application system.</x:v>
      </x:c>
      <x:c r="R86" s="14" t="str">
        <x:v>https://isa.bjut.edu.cn/__local/C/5B/8A/281F6B1C10341C2FF785EEFE956_1A4C4532_5675A.pdf</x:v>
      </x:c>
      <x:c r="S86" s="14" t="str">
        <x:v>https://isa.bjut.edu.cn/en/ADMISSION/Bachelor_s_Degree_Programs.htm</x:v>
      </x:c>
      <x:c r="T86" s="16" t="n">
        <x:v>46229</x:v>
      </x:c>
      <x:c r="U86" s="14" t="str">
        <x:v>north-east-01.json</x:v>
      </x:c>
    </x:row>
    <x:row r="87">
      <x:c r="A87" s="14" t="n">
        <x:v>84</x:v>
      </x:c>
      <x:c r="B87" s="14" t="str">
        <x:v>北京航空航天大学</x:v>
      </x:c>
      <x:c r="C87" s="14" t="str">
        <x:v>Beihang University</x:v>
      </x:c>
      <x:c r="D87" s="14" t="str">
        <x:v>Beijing</x:v>
      </x:c>
      <x:c r="E87" s="14" t="str">
        <x:v>Materials Science and Engineering</x:v>
      </x:c>
      <x:c r="F87" s="14" t="str">
        <x:v>Materials Science and Engineering</x:v>
      </x:c>
      <x:c r="G87" s="14" t="str">
        <x:v>degree</x:v>
      </x:c>
      <x:c r="H87" s="14" t="str">
        <x:v>bachelor</x:v>
      </x:c>
      <x:c r="I87" s="14" t="str">
        <x:v>Chinese</x:v>
      </x:c>
      <x:c r="J87" s="14" t="str">
        <x:v>not_applicable</x:v>
      </x:c>
      <x:c r="K87" s="16"/>
      <x:c r="L87" s="16"/>
      <x:c r="M87" s="14" t="str">
        <x:v>next_cycle_pending</x:v>
      </x:c>
      <x:c r="N87" s="14" t="str">
        <x:v>program_identity_only</x:v>
      </x:c>
      <x:c r="O87" s="14" t="str">
        <x:f>IF(N87="cycle_ready","周期可发布","仅项目身份")</x:f>
        <x:v>仅项目身份</x:v>
      </x:c>
      <x:c r="P87" s="14" t="str">
        <x:v>Beihang lists this major in its official international undergraduate program catalog.</x:v>
      </x:c>
      <x:c r="Q87" s="14" t="str">
        <x:v>Applicants register and submit through Beihang's International Student Online Application System.</x:v>
      </x:c>
      <x:c r="R87" s="14" t="str">
        <x:v>https://is.buaa.edu.cn/en/info/1515/3312.htm</x:v>
      </x:c>
      <x:c r="S87" s="14" t="str">
        <x:v>https://is.buaa.edu.cn/en/info/1515/3312.htm</x:v>
      </x:c>
      <x:c r="T87" s="16" t="n">
        <x:v>46229</x:v>
      </x:c>
      <x:c r="U87" s="14" t="str">
        <x:v>north-east-01.json</x:v>
      </x:c>
    </x:row>
    <x:row r="88">
      <x:c r="A88" s="14" t="n">
        <x:v>85</x:v>
      </x:c>
      <x:c r="B88" s="14" t="str">
        <x:v>北京科技大学</x:v>
      </x:c>
      <x:c r="C88" s="14" t="str">
        <x:v>University of Science and Technology Beijing</x:v>
      </x:c>
      <x:c r="D88" s="14" t="str">
        <x:v>Beijing</x:v>
      </x:c>
      <x:c r="E88" s="14" t="str">
        <x:v>Materials Science and Engineering</x:v>
      </x:c>
      <x:c r="F88" s="14" t="str">
        <x:v>Materials Science and Engineering</x:v>
      </x:c>
      <x:c r="G88" s="14" t="str">
        <x:v>degree</x:v>
      </x:c>
      <x:c r="H88" s="14" t="str">
        <x:v>bachelor</x:v>
      </x:c>
      <x:c r="I88" s="14" t="str">
        <x:v>English</x:v>
      </x:c>
      <x:c r="J88" s="14" t="str">
        <x:v>not_applicable</x:v>
      </x:c>
      <x:c r="K88" s="16"/>
      <x:c r="L88" s="16"/>
      <x:c r="M88" s="14" t="str">
        <x:v>next_cycle_pending</x:v>
      </x:c>
      <x:c r="N88" s="14" t="str">
        <x:v>program_identity_only</x:v>
      </x:c>
      <x:c r="O88" s="14" t="str">
        <x:f>IF(N88="cycle_ready","周期可发布","仅项目身份")</x:f>
        <x:v>仅项目身份</x:v>
      </x:c>
      <x:c r="P88" s="14" t="str">
        <x:v>USTB's official international undergraduate brochure lists this English-taught major.</x:v>
      </x:c>
      <x:c r="Q88" s="14" t="str">
        <x:v>Applicants register and submit directly through USTB's international online application system.</x:v>
      </x:c>
      <x:c r="R88" s="14" t="str">
        <x:v>https://iscen.ustb.edu.cn/Admissions/7a574bf57214495aa87b81647650f3da.htm</x:v>
      </x:c>
      <x:c r="S88" s="14" t="str">
        <x:v>https://iscen.ustb.edu.cn/Admissions/index.htm</x:v>
      </x:c>
      <x:c r="T88" s="16" t="n">
        <x:v>46229</x:v>
      </x:c>
      <x:c r="U88" s="14" t="str">
        <x:v>north-east-01.json</x:v>
      </x:c>
    </x:row>
    <x:row r="89">
      <x:c r="A89" s="14" t="n">
        <x:v>86</x:v>
      </x:c>
      <x:c r="B89" s="14" t="str">
        <x:v>北京化工大学</x:v>
      </x:c>
      <x:c r="C89" s="14" t="str">
        <x:v>Beijing University of Chemical Technology</x:v>
      </x:c>
      <x:c r="D89" s="14" t="str">
        <x:v>Beijing</x:v>
      </x:c>
      <x:c r="E89" s="14" t="str">
        <x:v>Materials Science and Engineering</x:v>
      </x:c>
      <x:c r="F89" s="14" t="str">
        <x:v>Materials Science and Engineering</x:v>
      </x:c>
      <x:c r="G89" s="14" t="str">
        <x:v>degree</x:v>
      </x:c>
      <x:c r="H89" s="14" t="str">
        <x:v>master</x:v>
      </x:c>
      <x:c r="I89" s="14" t="str">
        <x:v>English/Chinese</x:v>
      </x:c>
      <x:c r="J89" s="14" t="str">
        <x:v>not_applicable</x:v>
      </x:c>
      <x:c r="K89" s="16"/>
      <x:c r="L89" s="16"/>
      <x:c r="M89" s="14" t="str">
        <x:v>next_cycle_pending</x:v>
      </x:c>
      <x:c r="N89" s="14" t="str">
        <x:v>program_identity_only</x:v>
      </x:c>
      <x:c r="O89" s="14" t="str">
        <x:f>IF(N89="cycle_ready","周期可发布","仅项目身份")</x:f>
        <x:v>仅项目身份</x:v>
      </x:c>
      <x:c r="P89" s="14" t="str">
        <x:v>BUCT's official 2026 international postgraduate call lists this master's major.</x:v>
      </x:c>
      <x:c r="Q89" s="14" t="str">
        <x:v>Applicants personally complete both the CSC and BUCT online application portals.</x:v>
      </x:c>
      <x:c r="R89" s="14" t="str">
        <x:v>https://en-sie.buct.edu.cn/2025/1215/c4216a215812/page.htm</x:v>
      </x:c>
      <x:c r="S89" s="14" t="str">
        <x:v>https://en-sie.buct.edu.cn/3874/list.htm</x:v>
      </x:c>
      <x:c r="T89" s="16" t="n">
        <x:v>46229</x:v>
      </x:c>
      <x:c r="U89" s="14" t="str">
        <x:v>north-east-01.json</x:v>
      </x:c>
    </x:row>
    <x:row r="90">
      <x:c r="A90" s="14" t="n">
        <x:v>87</x:v>
      </x:c>
      <x:c r="B90" s="14" t="str">
        <x:v>北京邮电大学</x:v>
      </x:c>
      <x:c r="C90" s="14" t="str">
        <x:v>Beijing University of Posts and Telecommunications</x:v>
      </x:c>
      <x:c r="D90" s="14" t="str">
        <x:v>Beijing</x:v>
      </x:c>
      <x:c r="E90" s="14" t="str">
        <x:v>英文授课硕士项目</x:v>
      </x:c>
      <x:c r="F90" s="14" t="str">
        <x:v>English-taught Master's Program</x:v>
      </x:c>
      <x:c r="G90" s="14" t="str">
        <x:v>degree</x:v>
      </x:c>
      <x:c r="H90" s="14" t="str">
        <x:v>master</x:v>
      </x:c>
      <x:c r="I90" s="14" t="str">
        <x:v>English</x:v>
      </x:c>
      <x:c r="J90" s="14" t="str">
        <x:v>not_applicable</x:v>
      </x:c>
      <x:c r="K90" s="16"/>
      <x:c r="L90" s="16"/>
      <x:c r="M90" s="14" t="str">
        <x:v>next_cycle_pending</x:v>
      </x:c>
      <x:c r="N90" s="14" t="str">
        <x:v>program_identity_only</x:v>
      </x:c>
      <x:c r="O90" s="14" t="str">
        <x:f>IF(N90="cycle_ready","周期可发布","仅项目身份")</x:f>
        <x:v>仅项目身份</x:v>
      </x:c>
      <x:c r="P90" s="14" t="str">
        <x:v>BUPT's official admission page defines this program for foreign-national international students.</x:v>
      </x:c>
      <x:c r="Q90" s="14" t="str">
        <x:v>Applicants prepare their documents and submit directly through BUPT's online application system.</x:v>
      </x:c>
      <x:c r="R90" s="14" t="str">
        <x:v>https://ois.bupt.edu.cn/info/1010/1552.htm</x:v>
      </x:c>
      <x:c r="S90" s="14" t="str">
        <x:v>https://ois.bupt.edu.cn/info/1010/1659.htm</x:v>
      </x:c>
      <x:c r="T90" s="16" t="n">
        <x:v>46229</x:v>
      </x:c>
      <x:c r="U90" s="14" t="str">
        <x:v>north-east-02.json</x:v>
      </x:c>
    </x:row>
    <x:row r="91">
      <x:c r="A91" s="14" t="n">
        <x:v>88</x:v>
      </x:c>
      <x:c r="B91" s="14" t="str">
        <x:v>中国农业大学</x:v>
      </x:c>
      <x:c r="C91" s="14" t="str">
        <x:v>China Agricultural University</x:v>
      </x:c>
      <x:c r="D91" s="14" t="str">
        <x:v>Beijing</x:v>
      </x:c>
      <x:c r="E91" s="14" t="str">
        <x:v>食品科学与工程</x:v>
      </x:c>
      <x:c r="F91" s="14" t="str">
        <x:v>Food Science and Engineering</x:v>
      </x:c>
      <x:c r="G91" s="14" t="str">
        <x:v>degree</x:v>
      </x:c>
      <x:c r="H91" s="14" t="str">
        <x:v>master</x:v>
      </x:c>
      <x:c r="I91" s="14" t="str">
        <x:v>English</x:v>
      </x:c>
      <x:c r="J91" s="14" t="str">
        <x:v>not_applicable</x:v>
      </x:c>
      <x:c r="K91" s="16"/>
      <x:c r="L91" s="16"/>
      <x:c r="M91" s="14" t="str">
        <x:v>next_cycle_pending</x:v>
      </x:c>
      <x:c r="N91" s="14" t="str">
        <x:v>program_identity_only</x:v>
      </x:c>
      <x:c r="O91" s="14" t="str">
        <x:f>IF(N91="cycle_ready","周期可发布","仅项目身份")</x:f>
        <x:v>仅项目身份</x:v>
      </x:c>
      <x:c r="P91" s="14" t="str">
        <x:v>CAU's official international graduate catalog lists this English-taught master's program.</x:v>
      </x:c>
      <x:c r="Q91" s="14" t="str">
        <x:v>Applicants choose a funding route and submit their chosen major in CAU's application system.</x:v>
      </x:c>
      <x:c r="R91" s="14" t="str">
        <x:v>https://admissions.cau.edu.cn/art/2025/9/29/art_48604_1107314.html</x:v>
      </x:c>
      <x:c r="S91" s="14" t="str">
        <x:v>https://admissions.cau.edu.cn/col/col48591/index.html</x:v>
      </x:c>
      <x:c r="T91" s="16" t="n">
        <x:v>46229</x:v>
      </x:c>
      <x:c r="U91" s="14" t="str">
        <x:v>north-east-02.json</x:v>
      </x:c>
    </x:row>
    <x:row r="92">
      <x:c r="A92" s="14" t="n">
        <x:v>89</x:v>
      </x:c>
      <x:c r="B92" s="14" t="str">
        <x:v>北京林业大学</x:v>
      </x:c>
      <x:c r="C92" s="14" t="str">
        <x:v>Beijing Forestry University</x:v>
      </x:c>
      <x:c r="D92" s="14" t="str">
        <x:v>Beijing</x:v>
      </x:c>
      <x:c r="E92" s="14" t="str">
        <x:v>预科项目</x:v>
      </x:c>
      <x:c r="F92" s="14" t="str">
        <x:v>Preparatory Program</x:v>
      </x:c>
      <x:c r="G92" s="14" t="str">
        <x:v>foundation</x:v>
      </x:c>
      <x:c r="H92" s="14" t="str">
        <x:v>not_applicable</x:v>
      </x:c>
      <x:c r="I92" s="14" t="str">
        <x:v>source_language</x:v>
      </x:c>
      <x:c r="J92" s="14" t="str">
        <x:v>not_applicable</x:v>
      </x:c>
      <x:c r="K92" s="16"/>
      <x:c r="L92" s="16"/>
      <x:c r="M92" s="14" t="str">
        <x:v>next_cycle_pending</x:v>
      </x:c>
      <x:c r="N92" s="14" t="str">
        <x:v>program_identity_only</x:v>
      </x:c>
      <x:c r="O92" s="14" t="str">
        <x:f>IF(N92="cycle_ready","周期可发布","仅项目身份")</x:f>
        <x:v>仅项目身份</x:v>
      </x:c>
      <x:c r="P92" s="14" t="str">
        <x:v>BJFU's official international admission overview lists the Preparatory Program and requires applicants to be non-Chinese citizens with a valid passport.</x:v>
      </x:c>
      <x:c r="Q92" s="14" t="str">
        <x:v>The official program entry provides an APPLY NOW route for the applicant; no partner-university or group-enrollment condition is stated.</x:v>
      </x:c>
      <x:c r="R92" s="14" t="str">
        <x:v>https://ic.bjfu.edu.cn/Admission/Overview/index.htm</x:v>
      </x:c>
      <x:c r="S92" s="14" t="str">
        <x:v>https://ic.bjfu.edu.cn/Programs/NonDegreePrograms/index.htm</x:v>
      </x:c>
      <x:c r="T92" s="16" t="n">
        <x:v>46229</x:v>
      </x:c>
      <x:c r="U92" s="14" t="str">
        <x:v>north-east-03.json</x:v>
      </x:c>
    </x:row>
    <x:row r="93">
      <x:c r="A93" s="14" t="n">
        <x:v>90</x:v>
      </x:c>
      <x:c r="B93" s="14" t="str">
        <x:v>北京师范大学</x:v>
      </x:c>
      <x:c r="C93" s="14" t="str">
        <x:v>Beijing Normal University</x:v>
      </x:c>
      <x:c r="D93" s="14" t="str">
        <x:v>Beijing</x:v>
      </x:c>
      <x:c r="E93" s="14" t="str">
        <x:v>International Economics and Trade</x:v>
      </x:c>
      <x:c r="F93" s="14" t="str">
        <x:v>International Economics and Trade</x:v>
      </x:c>
      <x:c r="G93" s="14" t="str">
        <x:v>degree</x:v>
      </x:c>
      <x:c r="H93" s="14" t="str">
        <x:v>bachelor</x:v>
      </x:c>
      <x:c r="I93" s="14" t="str">
        <x:v>Chinese</x:v>
      </x:c>
      <x:c r="J93" s="14" t="str">
        <x:v>not_applicable</x:v>
      </x:c>
      <x:c r="K93" s="16"/>
      <x:c r="L93" s="16"/>
      <x:c r="M93" s="14" t="str">
        <x:v>next_cycle_pending</x:v>
      </x:c>
      <x:c r="N93" s="14" t="str">
        <x:v>program_identity_only</x:v>
      </x:c>
      <x:c r="O93" s="14" t="str">
        <x:f>IF(N93="cycle_ready","周期可发布","仅项目身份")</x:f>
        <x:v>仅项目身份</x:v>
      </x:c>
      <x:c r="P93" s="14" t="str">
        <x:v>BNU's official 2026 catalog lists this bachelor's major for undergraduate international students.</x:v>
      </x:c>
      <x:c r="Q93" s="14" t="str">
        <x:v>Applicants register, choose a major, and submit through BNU's international application system.</x:v>
      </x:c>
      <x:c r="R93" s="14" t="str">
        <x:v>https://admission-is.bnu.edu.cn/english/admissionprogram/bachelordegreeprogram/majorcatalog/index.html</x:v>
      </x:c>
      <x:c r="S93" s="14" t="str">
        <x:v>https://admission-is.bnu.edu.cn/english/admissionprogram/bachelordegreeprogram/admissionbrochure/index.html</x:v>
      </x:c>
      <x:c r="T93" s="16" t="n">
        <x:v>46229</x:v>
      </x:c>
      <x:c r="U93" s="14" t="str">
        <x:v>north-east-02.json</x:v>
      </x:c>
    </x:row>
    <x:row r="94">
      <x:c r="A94" s="14" t="n">
        <x:v>91</x:v>
      </x:c>
      <x:c r="B94" s="14" t="str">
        <x:v>北京外国语大学</x:v>
      </x:c>
      <x:c r="C94" s="14" t="str">
        <x:v>Beijing Foreign Studies University</x:v>
      </x:c>
      <x:c r="D94" s="14" t="str">
        <x:v>Beijing</x:v>
      </x:c>
      <x:c r="E94" s="14" t="str">
        <x:v>International Trade</x:v>
      </x:c>
      <x:c r="F94" s="14" t="str">
        <x:v>International Trade</x:v>
      </x:c>
      <x:c r="G94" s="14" t="str">
        <x:v>degree</x:v>
      </x:c>
      <x:c r="H94" s="14" t="str">
        <x:v>bachelor</x:v>
      </x:c>
      <x:c r="I94" s="14" t="str">
        <x:v>English</x:v>
      </x:c>
      <x:c r="J94" s="14" t="str">
        <x:v>Spring 2027</x:v>
      </x:c>
      <x:c r="K94" s="16" t="n">
        <x:v>46310</x:v>
      </x:c>
      <x:c r="L94" s="16" t="n">
        <x:v>46371</x:v>
      </x:c>
      <x:c r="M94" s="14" t="str">
        <x:v>future</x:v>
      </x:c>
      <x:c r="N94" s="14" t="str">
        <x:v>cycle_ready</x:v>
      </x:c>
      <x:c r="O94" s="14" t="str">
        <x:f>IF(N94="cycle_ready","周期可发布","仅项目身份")</x:f>
        <x:v>周期可发布</x:v>
      </x:c>
      <x:c r="P94" s="14" t="str">
        <x:v>BFSU's official 2026 international undergraduate prospectus lists International Trade among its English-taught majors and requires a valid foreign passport and non-Chinese citizenship.</x:v>
      </x:c>
      <x:c r="Q94" s="14" t="str">
        <x:v>The official prospectus directs applicants to complete their own English-language online application through study.bfsu.edu.cn.</x:v>
      </x:c>
      <x:c r="R94" s="14" t="str">
        <x:v>https://osao.bfsu.edu.cn/info/2612/7182.htm</x:v>
      </x:c>
      <x:c r="S94" s="14" t="str">
        <x:v>https://osao.bfsu.edu.cn/Academics/Admissions_Brochure.htm</x:v>
      </x:c>
      <x:c r="T94" s="16" t="n">
        <x:v>46229</x:v>
      </x:c>
      <x:c r="U94" s="14" t="str">
        <x:v>north-east-03.json</x:v>
      </x:c>
    </x:row>
    <x:row r="95">
      <x:c r="A95" s="14" t="n">
        <x:v>92</x:v>
      </x:c>
      <x:c r="B95" s="14" t="str">
        <x:v>中国传媒大学</x:v>
      </x:c>
      <x:c r="C95" s="14" t="str">
        <x:v>Communication University of China</x:v>
      </x:c>
      <x:c r="D95" s="14" t="str">
        <x:v>Beijing</x:v>
      </x:c>
      <x:c r="E95" s="14" t="str">
        <x:v>汉语预科项目</x:v>
      </x:c>
      <x:c r="F95" s="14" t="str">
        <x:v>Chinese Language Preparatory Program</x:v>
      </x:c>
      <x:c r="G95" s="14" t="str">
        <x:v>language</x:v>
      </x:c>
      <x:c r="H95" s="14" t="str">
        <x:v>not_applicable</x:v>
      </x:c>
      <x:c r="I95" s="14" t="str">
        <x:v>Chinese</x:v>
      </x:c>
      <x:c r="J95" s="14" t="str">
        <x:v>Year-round</x:v>
      </x:c>
      <x:c r="K95" s="16"/>
      <x:c r="L95" s="16"/>
      <x:c r="M95" s="14" t="str">
        <x:v>rolling</x:v>
      </x:c>
      <x:c r="N95" s="14" t="str">
        <x:v>cycle_ready</x:v>
      </x:c>
      <x:c r="O95" s="14" t="str">
        <x:f>IF(N95="cycle_ready","周期可发布","仅项目身份")</x:f>
        <x:v>周期可发布</x:v>
      </x:c>
      <x:c r="P95" s="14" t="str">
        <x:v>CUC's official international admissions Q&amp;A identifies preparatory Chinese-language students as an international-student category and requires non-Chinese citizenship with a valid foreign passport.</x:v>
      </x:c>
      <x:c r="Q95" s="14" t="str">
        <x:v>The official Q&amp;A tells applicants to log in to CUC's International Student Online Service System and select the program for their intended study duration.</x:v>
      </x:c>
      <x:c r="R95" s="14" t="str">
        <x:v>https://icuc.cuc.edu.cn/2026/0204/c7289a266930/page.htm</x:v>
      </x:c>
      <x:c r="S95" s="14" t="str">
        <x:v>https://icuc.cuc.edu.cn/7289/list.htm</x:v>
      </x:c>
      <x:c r="T95" s="16" t="n">
        <x:v>46229</x:v>
      </x:c>
      <x:c r="U95" s="14" t="str">
        <x:v>north-east-03.json</x:v>
      </x:c>
    </x:row>
    <x:row r="96">
      <x:c r="A96" s="14" t="n">
        <x:v>93</x:v>
      </x:c>
      <x:c r="B96" s="14" t="str">
        <x:v>中央财经大学</x:v>
      </x:c>
      <x:c r="C96" s="14" t="str">
        <x:v>Central University of Finance and Economics</x:v>
      </x:c>
      <x:c r="D96" s="14" t="str">
        <x:v>Beijing</x:v>
      </x:c>
      <x:c r="E96" s="14" t="str">
        <x:v>Investment</x:v>
      </x:c>
      <x:c r="F96" s="14" t="str">
        <x:v>Investment</x:v>
      </x:c>
      <x:c r="G96" s="14" t="str">
        <x:v>degree</x:v>
      </x:c>
      <x:c r="H96" s="14" t="str">
        <x:v>master</x:v>
      </x:c>
      <x:c r="I96" s="14" t="str">
        <x:v>English</x:v>
      </x:c>
      <x:c r="J96" s="14" t="str">
        <x:v>not_applicable</x:v>
      </x:c>
      <x:c r="K96" s="16"/>
      <x:c r="L96" s="16"/>
      <x:c r="M96" s="14" t="str">
        <x:v>next_cycle_pending</x:v>
      </x:c>
      <x:c r="N96" s="14" t="str">
        <x:v>program_identity_only</x:v>
      </x:c>
      <x:c r="O96" s="14" t="str">
        <x:f>IF(N96="cycle_ready","周期可发布","仅项目身份")</x:f>
        <x:v>仅项目身份</x:v>
      </x:c>
      <x:c r="P96" s="14" t="str">
        <x:v>CUFE's official international master's catalog lists Investment as an English-taught program; its international application guide requires non-Chinese citizenship and a bachelor's degree or above.</x:v>
      </x:c>
      <x:c r="Q96" s="14" t="str">
        <x:v>The official guide instructs applicants to sign in to CUFE's International Student Service System and submit the online application.</x:v>
      </x:c>
      <x:c r="R96" s="14" t="str">
        <x:v>https://sice.cufe.edu.cn/admissions/info/1046/3425.htm</x:v>
      </x:c>
      <x:c r="S96" s="14" t="str">
        <x:v>https://sice.cufe.edu.cn/admissions/info/1046/3424.htm</x:v>
      </x:c>
      <x:c r="T96" s="16" t="n">
        <x:v>46229</x:v>
      </x:c>
      <x:c r="U96" s="14" t="str">
        <x:v>north-east-03.json</x:v>
      </x:c>
    </x:row>
    <x:row r="97">
      <x:c r="A97" s="14" t="n">
        <x:v>94</x:v>
      </x:c>
      <x:c r="B97" s="14" t="str">
        <x:v>对外经济贸易大学</x:v>
      </x:c>
      <x:c r="C97" s="14" t="str">
        <x:v>University of International Business and Economics</x:v>
      </x:c>
      <x:c r="D97" s="14" t="str">
        <x:v>Beijing</x:v>
      </x:c>
      <x:c r="E97" s="14" t="str">
        <x:v>International Economics and Trade</x:v>
      </x:c>
      <x:c r="F97" s="14" t="str">
        <x:v>International Economics and Trade</x:v>
      </x:c>
      <x:c r="G97" s="14" t="str">
        <x:v>degree</x:v>
      </x:c>
      <x:c r="H97" s="14" t="str">
        <x:v>bachelor</x:v>
      </x:c>
      <x:c r="I97" s="14" t="str">
        <x:v>English</x:v>
      </x:c>
      <x:c r="J97" s="14" t="str">
        <x:v>Spring 2027</x:v>
      </x:c>
      <x:c r="K97" s="16" t="n">
        <x:v>46315</x:v>
      </x:c>
      <x:c r="L97" s="16" t="n">
        <x:v>46387</x:v>
      </x:c>
      <x:c r="M97" s="14" t="str">
        <x:v>future</x:v>
      </x:c>
      <x:c r="N97" s="14" t="str">
        <x:v>cycle_ready</x:v>
      </x:c>
      <x:c r="O97" s="14" t="str">
        <x:f>IF(N97="cycle_ready","周期可发布","仅项目身份")</x:f>
        <x:v>周期可发布</x:v>
      </x:c>
      <x:c r="P97" s="14" t="str">
        <x:v>UIBE lists this major in its official English-taught International Undergraduate Programs.</x:v>
      </x:c>
      <x:c r="Q97" s="14" t="str">
        <x:v>The official program page directs applicants to apply online through UIBE.</x:v>
      </x:c>
      <x:c r="R97" s="14" t="str">
        <x:v>https://sie.uibe.edu.cn/en/Prgr/BacDegPro/OfEn/index.htm</x:v>
      </x:c>
      <x:c r="S97" s="14" t="str">
        <x:v>https://sie.uibe.edu.cn/en/Prgr/index.htm</x:v>
      </x:c>
      <x:c r="T97" s="16" t="n">
        <x:v>46229</x:v>
      </x:c>
      <x:c r="U97" s="14" t="str">
        <x:v>north-east-02.json</x:v>
      </x:c>
    </x:row>
    <x:row r="98">
      <x:c r="A98" s="14" t="n">
        <x:v>95</x:v>
      </x:c>
      <x:c r="B98" s="14" t="str">
        <x:v>中央民族大学</x:v>
      </x:c>
      <x:c r="C98" s="14" t="str">
        <x:v>Minzu University of China</x:v>
      </x:c>
      <x:c r="D98" s="14" t="str">
        <x:v>Beijing</x:v>
      </x:c>
      <x:c r="E98" s="14" t="str">
        <x:v>中文进修项目</x:v>
      </x:c>
      <x:c r="F98" s="14" t="str">
        <x:v>Chinese Language Study Program</x:v>
      </x:c>
      <x:c r="G98" s="14" t="str">
        <x:v>language</x:v>
      </x:c>
      <x:c r="H98" s="14" t="str">
        <x:v>not_applicable</x:v>
      </x:c>
      <x:c r="I98" s="14" t="str">
        <x:v>Chinese</x:v>
      </x:c>
      <x:c r="J98" s="14" t="str">
        <x:v>not_applicable</x:v>
      </x:c>
      <x:c r="K98" s="16"/>
      <x:c r="L98" s="16"/>
      <x:c r="M98" s="14" t="str">
        <x:v>next_cycle_pending</x:v>
      </x:c>
      <x:c r="N98" s="14" t="str">
        <x:v>program_identity_only</x:v>
      </x:c>
      <x:c r="O98" s="14" t="str">
        <x:f>IF(N98="cycle_ready","周期可发布","仅项目身份")</x:f>
        <x:v>仅项目身份</x:v>
      </x:c>
      <x:c r="P98" s="14" t="str">
        <x:v>MUC's official program guide identifies the semester- or year-long Chinese language and culture program for non-Chinese citizens aged 18 or above.</x:v>
      </x:c>
      <x:c r="Q98" s="14" t="str">
        <x:v>The official guide instructs applicants to log in to MUC's International Student Service Platform and submit an online application.</x:v>
      </x:c>
      <x:c r="R98" s="14" t="str">
        <x:v>https://cie.muc.edu.cn/info/1726/11469.htm</x:v>
      </x:c>
      <x:c r="S98" s="14" t="str">
        <x:v>https://cie.muc.edu.cn/lxmd2/hyjxxm.htm</x:v>
      </x:c>
      <x:c r="T98" s="16" t="n">
        <x:v>46229</x:v>
      </x:c>
      <x:c r="U98" s="14" t="str">
        <x:v>north-east-03.json</x:v>
      </x:c>
    </x:row>
    <x:row r="99">
      <x:c r="A99" s="14" t="n">
        <x:v>96</x:v>
      </x:c>
      <x:c r="B99" s="14" t="str">
        <x:v>南开大学</x:v>
      </x:c>
      <x:c r="C99" s="14" t="str">
        <x:v>Nankai University</x:v>
      </x:c>
      <x:c r="D99" s="14" t="str">
        <x:v>Tianjin</x:v>
      </x:c>
      <x:c r="E99" s="14" t="str">
        <x:v>汉语言文学</x:v>
      </x:c>
      <x:c r="F99" s="14" t="str">
        <x:v>Chinese Language and Literature</x:v>
      </x:c>
      <x:c r="G99" s="14" t="str">
        <x:v>degree</x:v>
      </x:c>
      <x:c r="H99" s="14" t="str">
        <x:v>bachelor</x:v>
      </x:c>
      <x:c r="I99" s="14" t="str">
        <x:v>Chinese</x:v>
      </x:c>
      <x:c r="J99" s="14" t="str">
        <x:v>2026 Fall</x:v>
      </x:c>
      <x:c r="K99" s="16" t="n">
        <x:v>45950</x:v>
      </x:c>
      <x:c r="L99" s="16" t="n">
        <x:v>46203</x:v>
      </x:c>
      <x:c r="M99" s="14" t="str">
        <x:v>closed</x:v>
      </x:c>
      <x:c r="N99" s="14" t="str">
        <x:v>program_identity_only</x:v>
      </x:c>
      <x:c r="O99" s="14" t="str">
        <x:f>IF(N99="cycle_ready","周期可发布","仅项目身份")</x:f>
        <x:v>仅项目身份</x:v>
      </x:c>
      <x:c r="P99" s="14" t="str">
        <x:v>The 2026 guide requires applicants to be non-Chinese citizens.</x:v>
      </x:c>
      <x:c r="Q99" s="14" t="str">
        <x:v>Applicants submit through Nankai's international student review and application system.</x:v>
      </x:c>
      <x:c r="R99" s="14" t="str">
        <x:v>https://ensie.nankai.edu.cn/info/1089/1167.htm</x:v>
      </x:c>
      <x:c r="S99" s="14" t="str">
        <x:v>https://ensie.nankai.edu.cn/__local/C/AA/9B/C4D2A9703C9C092254029111A2E_3D29FA7B_1E822.pdf</x:v>
      </x:c>
      <x:c r="T99" s="16" t="n">
        <x:v>46229</x:v>
      </x:c>
      <x:c r="U99" s="14" t="str">
        <x:v>root-01.json</x:v>
      </x:c>
    </x:row>
    <x:row r="100">
      <x:c r="A100" s="14" t="n">
        <x:v>97</x:v>
      </x:c>
      <x:c r="B100" s="14" t="str">
        <x:v>天津大学</x:v>
      </x:c>
      <x:c r="C100" s="14" t="str">
        <x:v>Tianjin University</x:v>
      </x:c>
      <x:c r="D100" s="14" t="str">
        <x:v>Tianjin</x:v>
      </x:c>
      <x:c r="E100" s="14" t="str">
        <x:v>国际学生硕士项目</x:v>
      </x:c>
      <x:c r="F100" s="14" t="str">
        <x:v>International Master's Programs</x:v>
      </x:c>
      <x:c r="G100" s="14" t="str">
        <x:v>degree</x:v>
      </x:c>
      <x:c r="H100" s="14" t="str">
        <x:v>master</x:v>
      </x:c>
      <x:c r="I100" s="14" t="str">
        <x:v>Chinese/English</x:v>
      </x:c>
      <x:c r="J100" s="14" t="str">
        <x:v>2026 Fall</x:v>
      </x:c>
      <x:c r="K100" s="16"/>
      <x:c r="L100" s="16"/>
      <x:c r="M100" s="14" t="str">
        <x:v>next_cycle_pending</x:v>
      </x:c>
      <x:c r="N100" s="14" t="str">
        <x:v>program_identity_only</x:v>
      </x:c>
      <x:c r="O100" s="14" t="str">
        <x:f>IF(N100="cycle_ready","周期可发布","仅项目身份")</x:f>
        <x:v>仅项目身份</x:v>
      </x:c>
      <x:c r="P100" s="14" t="str">
        <x:v>The official master's guide requires applicants to be non-Chinese citizens.</x:v>
      </x:c>
      <x:c r="Q100" s="14" t="str">
        <x:v>Applicants register and upload documents in Tianjin University's ISSS.</x:v>
      </x:c>
      <x:c r="R100" s="14" t="str">
        <x:v>https://sie.tju.edu.cn/en/xwxm/MASTERPROGRAMS/202510/t20251013_324447.html</x:v>
      </x:c>
      <x:c r="S100" s="14" t="str">
        <x:v>https://sie.tju.edu.cn/en/xwxm/MASTERPROGRAMS/202510/t20251013_324447.html</x:v>
      </x:c>
      <x:c r="T100" s="16" t="n">
        <x:v>46229</x:v>
      </x:c>
      <x:c r="U100" s="14" t="str">
        <x:v>root-01.json</x:v>
      </x:c>
    </x:row>
    <x:row r="101">
      <x:c r="A101" s="14" t="n">
        <x:v>98</x:v>
      </x:c>
      <x:c r="B101" s="14" t="str">
        <x:v>大连理工大学</x:v>
      </x:c>
      <x:c r="C101" s="14" t="str">
        <x:v>Dalian University of Technology</x:v>
      </x:c>
      <x:c r="D101" s="14" t="str">
        <x:v>Liaoning</x:v>
      </x:c>
      <x:c r="E101" s="14" t="str">
        <x:v>英文授课本科项目</x:v>
      </x:c>
      <x:c r="F101" s="14" t="str">
        <x:v>English-taught Bachelor Programs</x:v>
      </x:c>
      <x:c r="G101" s="14" t="str">
        <x:v>degree</x:v>
      </x:c>
      <x:c r="H101" s="14" t="str">
        <x:v>bachelor</x:v>
      </x:c>
      <x:c r="I101" s="14" t="str">
        <x:v>English</x:v>
      </x:c>
      <x:c r="J101" s="14" t="str">
        <x:v>2026 Fall</x:v>
      </x:c>
      <x:c r="K101" s="16" t="n">
        <x:v>45962</x:v>
      </x:c>
      <x:c r="L101" s="16" t="n">
        <x:v>46203</x:v>
      </x:c>
      <x:c r="M101" s="14" t="str">
        <x:v>closed</x:v>
      </x:c>
      <x:c r="N101" s="14" t="str">
        <x:v>program_identity_only</x:v>
      </x:c>
      <x:c r="O101" s="14" t="str">
        <x:f>IF(N101="cycle_ready","周期可发布","仅项目身份")</x:f>
        <x:v>仅项目身份</x:v>
      </x:c>
      <x:c r="P101" s="14" t="str">
        <x:v>The 2026 page requires applicants to be non-Chinese citizens.</x:v>
      </x:c>
      <x:c r="Q101" s="14" t="str">
        <x:v>Applicants finish the DUT international online application and upload documents.</x:v>
      </x:c>
      <x:c r="R101" s="14" t="str">
        <x:v>https://sie.dlut.edu.cn/info/1179/2480.htm</x:v>
      </x:c>
      <x:c r="S101" s="14" t="str">
        <x:v>https://sie.dlut.edu.cn/English/Admissions/Degree_Programs/Bachelor_Programs1.htm</x:v>
      </x:c>
      <x:c r="T101" s="16" t="n">
        <x:v>46229</x:v>
      </x:c>
      <x:c r="U101" s="14" t="str">
        <x:v>root-01.json</x:v>
      </x:c>
    </x:row>
    <x:row r="102">
      <x:c r="A102" s="14" t="n">
        <x:v>99</x:v>
      </x:c>
      <x:c r="B102" s="14" t="str">
        <x:v>东北师范大学</x:v>
      </x:c>
      <x:c r="C102" s="14" t="str">
        <x:v>Northeast Normal University</x:v>
      </x:c>
      <x:c r="D102" s="14" t="str">
        <x:v>Jilin</x:v>
      </x:c>
      <x:c r="E102" s="14" t="str">
        <x:v>国际学生硕士项目</x:v>
      </x:c>
      <x:c r="F102" s="14" t="str">
        <x:v>Master's Programs for International Students</x:v>
      </x:c>
      <x:c r="G102" s="14" t="str">
        <x:v>degree</x:v>
      </x:c>
      <x:c r="H102" s="14" t="str">
        <x:v>master</x:v>
      </x:c>
      <x:c r="I102" s="14" t="str">
        <x:v>Chinese/English</x:v>
      </x:c>
      <x:c r="J102" s="14" t="str">
        <x:v>2026 Fall</x:v>
      </x:c>
      <x:c r="K102" s="16"/>
      <x:c r="L102" s="16" t="n">
        <x:v>46195</x:v>
      </x:c>
      <x:c r="M102" s="14" t="str">
        <x:v>closed</x:v>
      </x:c>
      <x:c r="N102" s="14" t="str">
        <x:v>program_identity_only</x:v>
      </x:c>
      <x:c r="O102" s="14" t="str">
        <x:f>IF(N102="cycle_ready","周期可发布","仅项目身份")</x:f>
        <x:v>仅项目身份</x:v>
      </x:c>
      <x:c r="P102" s="14" t="str">
        <x:v>The 2026–2027 master's guide requires non-Chinese citizenship.</x:v>
      </x:c>
      <x:c r="Q102" s="14" t="str">
        <x:v>Applicants register directly in NENU's International Student Service System.</x:v>
      </x:c>
      <x:c r="R102" s="14" t="str">
        <x:v>https://iso.nenu.edu.cn/Admission/Master_s_Program.htm</x:v>
      </x:c>
      <x:c r="S102" s="14" t="str">
        <x:v>https://iso.nenu.edu.cn/Admission/Master_s_Program.htm</x:v>
      </x:c>
      <x:c r="T102" s="16" t="n">
        <x:v>46229</x:v>
      </x:c>
      <x:c r="U102" s="14" t="str">
        <x:v>root-01.json</x:v>
      </x:c>
    </x:row>
    <x:row r="103">
      <x:c r="A103" s="14" t="n">
        <x:v>100</x:v>
      </x:c>
      <x:c r="B103" s="14" t="str">
        <x:v>哈尔滨工程大学</x:v>
      </x:c>
      <x:c r="C103" s="14" t="str">
        <x:v>Harbin Engineering University</x:v>
      </x:c>
      <x:c r="D103" s="14" t="str">
        <x:v>Heilongjiang</x:v>
      </x:c>
      <x:c r="E103" s="14" t="str">
        <x:v>计算机科学与技术</x:v>
      </x:c>
      <x:c r="F103" s="14" t="str">
        <x:v>Computer Science and Technology</x:v>
      </x:c>
      <x:c r="G103" s="14" t="str">
        <x:v>degree</x:v>
      </x:c>
      <x:c r="H103" s="14" t="str">
        <x:v>bachelor</x:v>
      </x:c>
      <x:c r="I103" s="14" t="str">
        <x:v>Chinese/English</x:v>
      </x:c>
      <x:c r="J103" s="14" t="str">
        <x:v>2026 Fall</x:v>
      </x:c>
      <x:c r="K103" s="16" t="n">
        <x:v>45962</x:v>
      </x:c>
      <x:c r="L103" s="16" t="n">
        <x:v>46157</x:v>
      </x:c>
      <x:c r="M103" s="14" t="str">
        <x:v>closed</x:v>
      </x:c>
      <x:c r="N103" s="14" t="str">
        <x:v>program_identity_only</x:v>
      </x:c>
      <x:c r="O103" s="14" t="str">
        <x:f>IF(N103="cycle_ready","周期可发布","仅项目身份")</x:f>
        <x:v>仅项目身份</x:v>
      </x:c>
      <x:c r="P103" s="14" t="str">
        <x:v>The 2026 international guide lists Computer Science and Technology.</x:v>
      </x:c>
      <x:c r="Q103" s="14" t="str">
        <x:v>Applicants upload passport and academic materials in HEU's application system.</x:v>
      </x:c>
      <x:c r="R103" s="14" t="str">
        <x:v>https://studyheu.hrbeu.edu.cn/en/info/1026/1323.htm</x:v>
      </x:c>
      <x:c r="S103" s="14" t="str">
        <x:v>https://studyheu.hrbeu.edu.cn/en/info/1026/1323.htm</x:v>
      </x:c>
      <x:c r="T103" s="16" t="n">
        <x:v>46229</x:v>
      </x:c>
      <x:c r="U103" s="14" t="str">
        <x:v>root-01.json</x:v>
      </x:c>
    </x:row>
  </x:sheetData>
  <x:mergeCells>
    <x:mergeCell ref="A1:U1"/>
    <x:mergeCell ref="A2:U2"/>
  </x:mergeCells>
  <x:conditionalFormatting sqref="O4:O103">
    <x:cfRule type="containsText" dxfId="0" priority="1" operator="containsText" text="周期可发布"/>
    <x:cfRule type="containsText" dxfId="1" priority="2" operator="containsText" text="仅项目身份"/>
  </x:conditionalFormatting>
  <x:conditionalFormatting sqref="M4:M103">
    <x:cfRule type="containsText" dxfId="2" priority="3" operator="containsText" text="closed"/>
  </x:conditionalFormatting>
  <x:pageMargins left="0.7" right="0.7" top="0.75" bottom="0.75" header="0.3" footer="0.3"/>
  <x:tableParts count="1">
    <x:tablePart xmlns:r="http://schemas.openxmlformats.org/officeDocument/2006/relationships" r:id="Rb4050863b8a84c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4" hidden="0" customWidth="1"/>
    <x:col min="5" max="5" width="28" hidden="0" customWidth="1"/>
    <x:col min="6" max="6" width="15" hidden="0" customWidth="1"/>
    <x:col min="7" max="7" width="14" hidden="0" customWidth="1"/>
    <x:col min="8" max="8" width="24" hidden="0" customWidth="1"/>
    <x:col min="9" max="9" width="16" hidden="0" customWidth="1"/>
  </x:cols>
  <x:sheetData>
    <x:row r="1" ht="30" customHeight="1">
      <x:c r="A1" s="17" t="str">
        <x:v>学校覆盖汇总</x:v>
      </x:c>
      <x:c r="E1" s="15"/>
      <x:c r="H1" s="15"/>
    </x:row>
    <x:row r="2" ht="36" customHeight="1">
      <x:c r="A2" s="6" t="str">
        <x:v>学校优先轮询：先让更多学校各获得 1 条，再增加第 2、3 条，防止重新集中到少数高校。</x:v>
      </x:c>
    </x:row>
    <x:row r="3" ht="32" customHeight="1">
      <x:c r="A3" s="13" t="str">
        <x:v>学校</x:v>
      </x:c>
      <x:c r="B3" s="13" t="str">
        <x:v>项目数</x:v>
      </x:c>
      <x:c r="C3" s="13" t="str">
        <x:v>周期可发布</x:v>
      </x:c>
      <x:c r="D3" s="13" t="str">
        <x:v>仅项目身份</x:v>
      </x:c>
      <x:c r="E3" s="13" t="str">
        <x:v>University</x:v>
      </x:c>
      <x:c r="F3" s="13" t="str">
        <x:v>省份</x:v>
      </x:c>
      <x:c r="G3" s="13" t="str">
        <x:v>双一流序号</x:v>
      </x:c>
      <x:c r="H3" s="13" t="str">
        <x:v>项目类型</x:v>
      </x:c>
      <x:c r="I3" s="13" t="str">
        <x:v>官方项目页数</x:v>
      </x:c>
    </x:row>
    <x:row r="4">
      <x:c r="A4" s="14" t="str">
        <x:v>中国人民大学</x:v>
      </x:c>
      <x:c r="B4" s="18" t="n">
        <x:f>COUNTIF('项目审核'!$B$4:$B$103,A4)</x:f>
        <x:v>3</x:v>
      </x:c>
      <x:c r="C4" s="18" t="n">
        <x:f>COUNTIFS('项目审核'!$B$4:$B$103,A4,'项目审核'!$O$4:$O$103,"周期可发布")</x:f>
        <x:v>3</x:v>
      </x:c>
      <x:c r="D4" s="18" t="n">
        <x:f>B4-C4</x:f>
        <x:v>0</x:v>
      </x:c>
      <x:c r="E4" s="14" t="str">
        <x:v>Renmin University of China</x:v>
      </x:c>
      <x:c r="F4" s="14" t="str">
        <x:v>Beijing</x:v>
      </x:c>
      <x:c r="G4" s="14" t="n">
        <x:v>2</x:v>
      </x:c>
      <x:c r="H4" s="14" t="str">
        <x:v>language, visiting</x:v>
      </x:c>
      <x:c r="I4" s="14" t="n">
        <x:v>1</x:v>
      </x:c>
    </x:row>
    <x:row r="5">
      <x:c r="A5" s="14" t="str">
        <x:v>北京交通大学</x:v>
      </x:c>
      <x:c r="B5" s="18" t="n">
        <x:f>COUNTIF('项目审核'!$B$4:$B$103,A5)</x:f>
        <x:v>3</x:v>
      </x:c>
      <x:c r="C5" s="18" t="n">
        <x:f>COUNTIFS('项目审核'!$B$4:$B$103,A5,'项目审核'!$O$4:$O$103,"周期可发布")</x:f>
        <x:v>0</x:v>
      </x:c>
      <x:c r="D5" s="18" t="n">
        <x:f>B5-C5</x:f>
        <x:v>3</x:v>
      </x:c>
      <x:c r="E5" s="14" t="str">
        <x:v>Beijing Jiaotong University</x:v>
      </x:c>
      <x:c r="F5" s="14" t="str">
        <x:v>Beijing</x:v>
      </x:c>
      <x:c r="G5" s="14" t="n">
        <x:v>4</x:v>
      </x:c>
      <x:c r="H5" s="14" t="str">
        <x:v>foundation, language, visiting</x:v>
      </x:c>
      <x:c r="I5" s="14" t="n">
        <x:v>1</x:v>
      </x:c>
    </x:row>
    <x:row r="6">
      <x:c r="A6" s="14" t="str">
        <x:v>北京工业大学</x:v>
      </x:c>
      <x:c r="B6" s="18" t="n">
        <x:f>COUNTIF('项目审核'!$B$4:$B$103,A6)</x:f>
        <x:v>3</x:v>
      </x:c>
      <x:c r="C6" s="18" t="n">
        <x:f>COUNTIFS('项目审核'!$B$4:$B$103,A6,'项目审核'!$O$4:$O$103,"周期可发布")</x:f>
        <x:v>0</x:v>
      </x:c>
      <x:c r="D6" s="18" t="n">
        <x:f>B6-C6</x:f>
        <x:v>3</x:v>
      </x:c>
      <x:c r="E6" s="14" t="str">
        <x:v>Beijing University of Technology</x:v>
      </x:c>
      <x:c r="F6" s="14" t="str">
        <x:v>Beijing</x:v>
      </x:c>
      <x:c r="G6" s="14" t="n">
        <x:v>5</x:v>
      </x:c>
      <x:c r="H6" s="14" t="str">
        <x:v>degree</x:v>
      </x:c>
      <x:c r="I6" s="14" t="n">
        <x:v>2</x:v>
      </x:c>
    </x:row>
    <x:row r="7">
      <x:c r="A7" s="14" t="str">
        <x:v>北京航空航天大学</x:v>
      </x:c>
      <x:c r="B7" s="18" t="n">
        <x:f>COUNTIF('项目审核'!$B$4:$B$103,A7)</x:f>
        <x:v>3</x:v>
      </x:c>
      <x:c r="C7" s="18" t="n">
        <x:f>COUNTIFS('项目审核'!$B$4:$B$103,A7,'项目审核'!$O$4:$O$103,"周期可发布")</x:f>
        <x:v>0</x:v>
      </x:c>
      <x:c r="D7" s="18" t="n">
        <x:f>B7-C7</x:f>
        <x:v>3</x:v>
      </x:c>
      <x:c r="E7" s="14" t="str">
        <x:v>Beihang University</x:v>
      </x:c>
      <x:c r="F7" s="14" t="str">
        <x:v>Beijing</x:v>
      </x:c>
      <x:c r="G7" s="14" t="n">
        <x:v>6</x:v>
      </x:c>
      <x:c r="H7" s="14" t="str">
        <x:v>degree</x:v>
      </x:c>
      <x:c r="I7" s="14" t="n">
        <x:v>1</x:v>
      </x:c>
    </x:row>
    <x:row r="8">
      <x:c r="A8" s="14" t="str">
        <x:v>北京科技大学</x:v>
      </x:c>
      <x:c r="B8" s="18" t="n">
        <x:f>COUNTIF('项目审核'!$B$4:$B$103,A8)</x:f>
        <x:v>3</x:v>
      </x:c>
      <x:c r="C8" s="18" t="n">
        <x:f>COUNTIFS('项目审核'!$B$4:$B$103,A8,'项目审核'!$O$4:$O$103,"周期可发布")</x:f>
        <x:v>0</x:v>
      </x:c>
      <x:c r="D8" s="18" t="n">
        <x:f>B8-C8</x:f>
        <x:v>3</x:v>
      </x:c>
      <x:c r="E8" s="14" t="str">
        <x:v>University of Science and Technology Beijing</x:v>
      </x:c>
      <x:c r="F8" s="14" t="str">
        <x:v>Beijing</x:v>
      </x:c>
      <x:c r="G8" s="14" t="n">
        <x:v>8</x:v>
      </x:c>
      <x:c r="H8" s="14" t="str">
        <x:v>degree</x:v>
      </x:c>
      <x:c r="I8" s="14" t="n">
        <x:v>1</x:v>
      </x:c>
    </x:row>
    <x:row r="9">
      <x:c r="A9" s="14" t="str">
        <x:v>北京化工大学</x:v>
      </x:c>
      <x:c r="B9" s="18" t="n">
        <x:f>COUNTIF('项目审核'!$B$4:$B$103,A9)</x:f>
        <x:v>3</x:v>
      </x:c>
      <x:c r="C9" s="18" t="n">
        <x:f>COUNTIFS('项目审核'!$B$4:$B$103,A9,'项目审核'!$O$4:$O$103,"周期可发布")</x:f>
        <x:v>0</x:v>
      </x:c>
      <x:c r="D9" s="18" t="n">
        <x:f>B9-C9</x:f>
        <x:v>3</x:v>
      </x:c>
      <x:c r="E9" s="14" t="str">
        <x:v>Beijing University of Chemical Technology</x:v>
      </x:c>
      <x:c r="F9" s="14" t="str">
        <x:v>Beijing</x:v>
      </x:c>
      <x:c r="G9" s="14" t="n">
        <x:v>9</x:v>
      </x:c>
      <x:c r="H9" s="14" t="str">
        <x:v>degree</x:v>
      </x:c>
      <x:c r="I9" s="14" t="n">
        <x:v>1</x:v>
      </x:c>
    </x:row>
    <x:row r="10">
      <x:c r="A10" s="14" t="str">
        <x:v>北京邮电大学</x:v>
      </x:c>
      <x:c r="B10" s="18" t="n">
        <x:f>COUNTIF('项目审核'!$B$4:$B$103,A10)</x:f>
        <x:v>3</x:v>
      </x:c>
      <x:c r="C10" s="18" t="n">
        <x:f>COUNTIFS('项目审核'!$B$4:$B$103,A10,'项目审核'!$O$4:$O$103,"周期可发布")</x:f>
        <x:v>0</x:v>
      </x:c>
      <x:c r="D10" s="18" t="n">
        <x:f>B10-C10</x:f>
        <x:v>3</x:v>
      </x:c>
      <x:c r="E10" s="14" t="str">
        <x:v>Beijing University of Posts and Telecommunications</x:v>
      </x:c>
      <x:c r="F10" s="14" t="str">
        <x:v>Beijing</x:v>
      </x:c>
      <x:c r="G10" s="14" t="n">
        <x:v>10</x:v>
      </x:c>
      <x:c r="H10" s="14" t="str">
        <x:v>degree</x:v>
      </x:c>
      <x:c r="I10" s="14" t="n">
        <x:v>1</x:v>
      </x:c>
    </x:row>
    <x:row r="11">
      <x:c r="A11" s="14" t="str">
        <x:v>中国农业大学</x:v>
      </x:c>
      <x:c r="B11" s="18" t="n">
        <x:f>COUNTIF('项目审核'!$B$4:$B$103,A11)</x:f>
        <x:v>3</x:v>
      </x:c>
      <x:c r="C11" s="18" t="n">
        <x:f>COUNTIFS('项目审核'!$B$4:$B$103,A11,'项目审核'!$O$4:$O$103,"周期可发布")</x:f>
        <x:v>0</x:v>
      </x:c>
      <x:c r="D11" s="18" t="n">
        <x:f>B11-C11</x:f>
        <x:v>3</x:v>
      </x:c>
      <x:c r="E11" s="14" t="str">
        <x:v>China Agricultural University</x:v>
      </x:c>
      <x:c r="F11" s="14" t="str">
        <x:v>Beijing</x:v>
      </x:c>
      <x:c r="G11" s="14" t="n">
        <x:v>11</x:v>
      </x:c>
      <x:c r="H11" s="14" t="str">
        <x:v>degree</x:v>
      </x:c>
      <x:c r="I11" s="14" t="n">
        <x:v>1</x:v>
      </x:c>
    </x:row>
    <x:row r="12">
      <x:c r="A12" s="14" t="str">
        <x:v>北京林业大学</x:v>
      </x:c>
      <x:c r="B12" s="18" t="n">
        <x:f>COUNTIF('项目审核'!$B$4:$B$103,A12)</x:f>
        <x:v>3</x:v>
      </x:c>
      <x:c r="C12" s="18" t="n">
        <x:f>COUNTIFS('项目审核'!$B$4:$B$103,A12,'项目审核'!$O$4:$O$103,"周期可发布")</x:f>
        <x:v>0</x:v>
      </x:c>
      <x:c r="D12" s="18" t="n">
        <x:f>B12-C12</x:f>
        <x:v>3</x:v>
      </x:c>
      <x:c r="E12" s="14" t="str">
        <x:v>Beijing Forestry University</x:v>
      </x:c>
      <x:c r="F12" s="14" t="str">
        <x:v>Beijing</x:v>
      </x:c>
      <x:c r="G12" s="14" t="n">
        <x:v>12</x:v>
      </x:c>
      <x:c r="H12" s="14" t="str">
        <x:v>foundation, language, visiting</x:v>
      </x:c>
      <x:c r="I12" s="14" t="n">
        <x:v>1</x:v>
      </x:c>
    </x:row>
    <x:row r="13">
      <x:c r="A13" s="14" t="str">
        <x:v>北京师范大学</x:v>
      </x:c>
      <x:c r="B13" s="18" t="n">
        <x:f>COUNTIF('项目审核'!$B$4:$B$103,A13)</x:f>
        <x:v>3</x:v>
      </x:c>
      <x:c r="C13" s="18" t="n">
        <x:f>COUNTIFS('项目审核'!$B$4:$B$103,A13,'项目审核'!$O$4:$O$103,"周期可发布")</x:f>
        <x:v>0</x:v>
      </x:c>
      <x:c r="D13" s="18" t="n">
        <x:f>B13-C13</x:f>
        <x:v>3</x:v>
      </x:c>
      <x:c r="E13" s="14" t="str">
        <x:v>Beijing Normal University</x:v>
      </x:c>
      <x:c r="F13" s="14" t="str">
        <x:v>Beijing</x:v>
      </x:c>
      <x:c r="G13" s="14" t="n">
        <x:v>15</x:v>
      </x:c>
      <x:c r="H13" s="14" t="str">
        <x:v>degree</x:v>
      </x:c>
      <x:c r="I13" s="14" t="n">
        <x:v>1</x:v>
      </x:c>
    </x:row>
    <x:row r="14">
      <x:c r="A14" s="14" t="str">
        <x:v>北京外国语大学</x:v>
      </x:c>
      <x:c r="B14" s="18" t="n">
        <x:f>COUNTIF('项目审核'!$B$4:$B$103,A14)</x:f>
        <x:v>3</x:v>
      </x:c>
      <x:c r="C14" s="18" t="n">
        <x:f>COUNTIFS('项目审核'!$B$4:$B$103,A14,'项目审核'!$O$4:$O$103,"周期可发布")</x:f>
        <x:v>3</x:v>
      </x:c>
      <x:c r="D14" s="18" t="n">
        <x:f>B14-C14</x:f>
        <x:v>0</x:v>
      </x:c>
      <x:c r="E14" s="14" t="str">
        <x:v>Beijing Foreign Studies University</x:v>
      </x:c>
      <x:c r="F14" s="14" t="str">
        <x:v>Beijing</x:v>
      </x:c>
      <x:c r="G14" s="14" t="n">
        <x:v>17</x:v>
      </x:c>
      <x:c r="H14" s="14" t="str">
        <x:v>degree</x:v>
      </x:c>
      <x:c r="I14" s="14" t="n">
        <x:v>1</x:v>
      </x:c>
    </x:row>
    <x:row r="15">
      <x:c r="A15" s="14" t="str">
        <x:v>中国传媒大学</x:v>
      </x:c>
      <x:c r="B15" s="18" t="n">
        <x:f>COUNTIF('项目审核'!$B$4:$B$103,A15)</x:f>
        <x:v>3</x:v>
      </x:c>
      <x:c r="C15" s="18" t="n">
        <x:f>COUNTIFS('项目审核'!$B$4:$B$103,A15,'项目审核'!$O$4:$O$103,"周期可发布")</x:f>
        <x:v>1</x:v>
      </x:c>
      <x:c r="D15" s="18" t="n">
        <x:f>B15-C15</x:f>
        <x:v>2</x:v>
      </x:c>
      <x:c r="E15" s="14" t="str">
        <x:v>Communication University of China</x:v>
      </x:c>
      <x:c r="F15" s="14" t="str">
        <x:v>Beijing</x:v>
      </x:c>
      <x:c r="G15" s="14" t="n">
        <x:v>18</x:v>
      </x:c>
      <x:c r="H15" s="14" t="str">
        <x:v>degree, language</x:v>
      </x:c>
      <x:c r="I15" s="14" t="n">
        <x:v>2</x:v>
      </x:c>
    </x:row>
    <x:row r="16">
      <x:c r="A16" s="14" t="str">
        <x:v>中央财经大学</x:v>
      </x:c>
      <x:c r="B16" s="18" t="n">
        <x:f>COUNTIF('项目审核'!$B$4:$B$103,A16)</x:f>
        <x:v>3</x:v>
      </x:c>
      <x:c r="C16" s="18" t="n">
        <x:f>COUNTIFS('项目审核'!$B$4:$B$103,A16,'项目审核'!$O$4:$O$103,"周期可发布")</x:f>
        <x:v>0</x:v>
      </x:c>
      <x:c r="D16" s="18" t="n">
        <x:f>B16-C16</x:f>
        <x:v>3</x:v>
      </x:c>
      <x:c r="E16" s="14" t="str">
        <x:v>Central University of Finance and Economics</x:v>
      </x:c>
      <x:c r="F16" s="14" t="str">
        <x:v>Beijing</x:v>
      </x:c>
      <x:c r="G16" s="14" t="n">
        <x:v>19</x:v>
      </x:c>
      <x:c r="H16" s="14" t="str">
        <x:v>degree</x:v>
      </x:c>
      <x:c r="I16" s="14" t="n">
        <x:v>1</x:v>
      </x:c>
    </x:row>
    <x:row r="17">
      <x:c r="A17" s="14" t="str">
        <x:v>对外经济贸易大学</x:v>
      </x:c>
      <x:c r="B17" s="18" t="n">
        <x:f>COUNTIF('项目审核'!$B$4:$B$103,A17)</x:f>
        <x:v>3</x:v>
      </x:c>
      <x:c r="C17" s="18" t="n">
        <x:f>COUNTIFS('项目审核'!$B$4:$B$103,A17,'项目审核'!$O$4:$O$103,"周期可发布")</x:f>
        <x:v>3</x:v>
      </x:c>
      <x:c r="D17" s="18" t="n">
        <x:f>B17-C17</x:f>
        <x:v>0</x:v>
      </x:c>
      <x:c r="E17" s="14" t="str">
        <x:v>University of International Business and Economics</x:v>
      </x:c>
      <x:c r="F17" s="14" t="str">
        <x:v>Beijing</x:v>
      </x:c>
      <x:c r="G17" s="14" t="n">
        <x:v>20</x:v>
      </x:c>
      <x:c r="H17" s="14" t="str">
        <x:v>degree</x:v>
      </x:c>
      <x:c r="I17" s="14" t="n">
        <x:v>1</x:v>
      </x:c>
    </x:row>
    <x:row r="18">
      <x:c r="A18" s="14" t="str">
        <x:v>中央民族大学</x:v>
      </x:c>
      <x:c r="B18" s="18" t="n">
        <x:f>COUNTIF('项目审核'!$B$4:$B$103,A18)</x:f>
        <x:v>3</x:v>
      </x:c>
      <x:c r="C18" s="18" t="n">
        <x:f>COUNTIFS('项目审核'!$B$4:$B$103,A18,'项目审核'!$O$4:$O$103,"周期可发布")</x:f>
        <x:v>2</x:v>
      </x:c>
      <x:c r="D18" s="18" t="n">
        <x:f>B18-C18</x:f>
        <x:v>1</x:v>
      </x:c>
      <x:c r="E18" s="14" t="str">
        <x:v>Minzu University of China</x:v>
      </x:c>
      <x:c r="F18" s="14" t="str">
        <x:v>Beijing</x:v>
      </x:c>
      <x:c r="G18" s="14" t="n">
        <x:v>28</x:v>
      </x:c>
      <x:c r="H18" s="14" t="str">
        <x:v>language</x:v>
      </x:c>
      <x:c r="I18" s="14" t="n">
        <x:v>2</x:v>
      </x:c>
    </x:row>
    <x:row r="19">
      <x:c r="A19" s="14" t="str">
        <x:v>南开大学</x:v>
      </x:c>
      <x:c r="B19" s="18" t="n">
        <x:f>COUNTIF('项目审核'!$B$4:$B$103,A19)</x:f>
        <x:v>3</x:v>
      </x:c>
      <x:c r="C19" s="18" t="n">
        <x:f>COUNTIFS('项目审核'!$B$4:$B$103,A19,'项目审核'!$O$4:$O$103,"周期可发布")</x:f>
        <x:v>0</x:v>
      </x:c>
      <x:c r="D19" s="18" t="n">
        <x:f>B19-C19</x:f>
        <x:v>3</x:v>
      </x:c>
      <x:c r="E19" s="14" t="str">
        <x:v>Nankai University</x:v>
      </x:c>
      <x:c r="F19" s="14" t="str">
        <x:v>Tianjin</x:v>
      </x:c>
      <x:c r="G19" s="14" t="n">
        <x:v>30</x:v>
      </x:c>
      <x:c r="H19" s="14" t="str">
        <x:v>degree</x:v>
      </x:c>
      <x:c r="I19" s="14" t="n">
        <x:v>1</x:v>
      </x:c>
    </x:row>
    <x:row r="20">
      <x:c r="A20" s="14" t="str">
        <x:v>天津大学</x:v>
      </x:c>
      <x:c r="B20" s="18" t="n">
        <x:f>COUNTIF('项目审核'!$B$4:$B$103,A20)</x:f>
        <x:v>3</x:v>
      </x:c>
      <x:c r="C20" s="18" t="n">
        <x:f>COUNTIFS('项目审核'!$B$4:$B$103,A20,'项目审核'!$O$4:$O$103,"周期可发布")</x:f>
        <x:v>1</x:v>
      </x:c>
      <x:c r="D20" s="18" t="n">
        <x:f>B20-C20</x:f>
        <x:v>2</x:v>
      </x:c>
      <x:c r="E20" s="14" t="str">
        <x:v>Tianjin University</x:v>
      </x:c>
      <x:c r="F20" s="14" t="str">
        <x:v>Tianjin</x:v>
      </x:c>
      <x:c r="G20" s="14" t="n">
        <x:v>31</x:v>
      </x:c>
      <x:c r="H20" s="14" t="str">
        <x:v>degree, language</x:v>
      </x:c>
      <x:c r="I20" s="14" t="n">
        <x:v>3</x:v>
      </x:c>
    </x:row>
    <x:row r="21">
      <x:c r="A21" s="14" t="str">
        <x:v>大连理工大学</x:v>
      </x:c>
      <x:c r="B21" s="18" t="n">
        <x:f>COUNTIF('项目审核'!$B$4:$B$103,A21)</x:f>
        <x:v>3</x:v>
      </x:c>
      <x:c r="C21" s="18" t="n">
        <x:f>COUNTIFS('项目审核'!$B$4:$B$103,A21,'项目审核'!$O$4:$O$103,"周期可发布")</x:f>
        <x:v>2</x:v>
      </x:c>
      <x:c r="D21" s="18" t="n">
        <x:f>B21-C21</x:f>
        <x:v>1</x:v>
      </x:c>
      <x:c r="E21" s="14" t="str">
        <x:v>Dalian University of Technology</x:v>
      </x:c>
      <x:c r="F21" s="14" t="str">
        <x:v>Liaoning</x:v>
      </x:c>
      <x:c r="G21" s="14" t="n">
        <x:v>41</x:v>
      </x:c>
      <x:c r="H21" s="14" t="str">
        <x:v>degree</x:v>
      </x:c>
      <x:c r="I21" s="14" t="n">
        <x:v>3</x:v>
      </x:c>
    </x:row>
    <x:row r="22">
      <x:c r="A22" s="14" t="str">
        <x:v>东北师范大学</x:v>
      </x:c>
      <x:c r="B22" s="18" t="n">
        <x:f>COUNTIF('项目审核'!$B$4:$B$103,A22)</x:f>
        <x:v>3</x:v>
      </x:c>
      <x:c r="C22" s="18" t="n">
        <x:f>COUNTIFS('项目审核'!$B$4:$B$103,A22,'项目审核'!$O$4:$O$103,"周期可发布")</x:f>
        <x:v>0</x:v>
      </x:c>
      <x:c r="D22" s="18" t="n">
        <x:f>B22-C22</x:f>
        <x:v>3</x:v>
      </x:c>
      <x:c r="E22" s="14" t="str">
        <x:v>Northeast Normal University</x:v>
      </x:c>
      <x:c r="F22" s="14" t="str">
        <x:v>Jilin</x:v>
      </x:c>
      <x:c r="G22" s="14" t="n">
        <x:v>46</x:v>
      </x:c>
      <x:c r="H22" s="14" t="str">
        <x:v>degree</x:v>
      </x:c>
      <x:c r="I22" s="14" t="n">
        <x:v>3</x:v>
      </x:c>
    </x:row>
    <x:row r="23">
      <x:c r="A23" s="14" t="str">
        <x:v>哈尔滨工程大学</x:v>
      </x:c>
      <x:c r="B23" s="18" t="n">
        <x:f>COUNTIF('项目审核'!$B$4:$B$103,A23)</x:f>
        <x:v>3</x:v>
      </x:c>
      <x:c r="C23" s="18" t="n">
        <x:f>COUNTIFS('项目审核'!$B$4:$B$103,A23,'项目审核'!$O$4:$O$103,"周期可发布")</x:f>
        <x:v>0</x:v>
      </x:c>
      <x:c r="D23" s="18" t="n">
        <x:f>B23-C23</x:f>
        <x:v>3</x:v>
      </x:c>
      <x:c r="E23" s="14" t="str">
        <x:v>Harbin Engineering University</x:v>
      </x:c>
      <x:c r="F23" s="14" t="str">
        <x:v>Heilongjiang</x:v>
      </x:c>
      <x:c r="G23" s="14" t="n">
        <x:v>48</x:v>
      </x:c>
      <x:c r="H23" s="14" t="str">
        <x:v>degree</x:v>
      </x:c>
      <x:c r="I23" s="14" t="n">
        <x:v>1</x:v>
      </x:c>
    </x:row>
    <x:row r="24">
      <x:c r="A24" s="14" t="str">
        <x:v>复旦大学</x:v>
      </x:c>
      <x:c r="B24" s="18" t="n">
        <x:f>COUNTIF('项目审核'!$B$4:$B$103,A24)</x:f>
        <x:v>2</x:v>
      </x:c>
      <x:c r="C24" s="18" t="n">
        <x:f>COUNTIFS('项目审核'!$B$4:$B$103,A24,'项目审核'!$O$4:$O$103,"周期可发布")</x:f>
        <x:v>1</x:v>
      </x:c>
      <x:c r="D24" s="18" t="n">
        <x:f>B24-C24</x:f>
        <x:v>1</x:v>
      </x:c>
      <x:c r="E24" s="14" t="str">
        <x:v>Fudan University</x:v>
      </x:c>
      <x:c r="F24" s="14" t="str">
        <x:v>Shanghai</x:v>
      </x:c>
      <x:c r="G24" s="14" t="n">
        <x:v>51</x:v>
      </x:c>
      <x:c r="H24" s="14" t="str">
        <x:v>language, short_term</x:v>
      </x:c>
      <x:c r="I24" s="14" t="n">
        <x:v>2</x:v>
      </x:c>
    </x:row>
    <x:row r="25">
      <x:c r="A25" s="14" t="str">
        <x:v>同济大学</x:v>
      </x:c>
      <x:c r="B25" s="18" t="n">
        <x:f>COUNTIF('项目审核'!$B$4:$B$103,A25)</x:f>
        <x:v>2</x:v>
      </x:c>
      <x:c r="C25" s="18" t="n">
        <x:f>COUNTIFS('项目审核'!$B$4:$B$103,A25,'项目审核'!$O$4:$O$103,"周期可发布")</x:f>
        <x:v>0</x:v>
      </x:c>
      <x:c r="D25" s="18" t="n">
        <x:f>B25-C25</x:f>
        <x:v>2</x:v>
      </x:c>
      <x:c r="E25" s="14" t="str">
        <x:v>Tongji University</x:v>
      </x:c>
      <x:c r="F25" s="14" t="str">
        <x:v>Shanghai</x:v>
      </x:c>
      <x:c r="G25" s="14" t="n">
        <x:v>52</x:v>
      </x:c>
      <x:c r="H25" s="14" t="str">
        <x:v>degree</x:v>
      </x:c>
      <x:c r="I25" s="14" t="n">
        <x:v>2</x:v>
      </x:c>
    </x:row>
    <x:row r="26">
      <x:c r="A26" s="14" t="str">
        <x:v>华东师范大学</x:v>
      </x:c>
      <x:c r="B26" s="18" t="n">
        <x:f>COUNTIF('项目审核'!$B$4:$B$103,A26)</x:f>
        <x:v>2</x:v>
      </x:c>
      <x:c r="C26" s="18" t="n">
        <x:f>COUNTIFS('项目审核'!$B$4:$B$103,A26,'项目审核'!$O$4:$O$103,"周期可发布")</x:f>
        <x:v>2</x:v>
      </x:c>
      <x:c r="D26" s="18" t="n">
        <x:f>B26-C26</x:f>
        <x:v>0</x:v>
      </x:c>
      <x:c r="E26" s="14" t="str">
        <x:v>East China Normal University</x:v>
      </x:c>
      <x:c r="F26" s="14" t="str">
        <x:v>Shanghai</x:v>
      </x:c>
      <x:c r="G26" s="14" t="n">
        <x:v>58</x:v>
      </x:c>
      <x:c r="H26" s="14" t="str">
        <x:v>language</x:v>
      </x:c>
      <x:c r="I26" s="14" t="n">
        <x:v>2</x:v>
      </x:c>
    </x:row>
    <x:row r="27">
      <x:c r="A27" s="14" t="str">
        <x:v>上海大学</x:v>
      </x:c>
      <x:c r="B27" s="18" t="n">
        <x:f>COUNTIF('项目审核'!$B$4:$B$103,A27)</x:f>
        <x:v>2</x:v>
      </x:c>
      <x:c r="C27" s="18" t="n">
        <x:f>COUNTIFS('项目审核'!$B$4:$B$103,A27,'项目审核'!$O$4:$O$103,"周期可发布")</x:f>
        <x:v>0</x:v>
      </x:c>
      <x:c r="D27" s="18" t="n">
        <x:f>B27-C27</x:f>
        <x:v>2</x:v>
      </x:c>
      <x:c r="E27" s="14" t="str">
        <x:v>Shanghai University</x:v>
      </x:c>
      <x:c r="F27" s="14" t="str">
        <x:v>Shanghai</x:v>
      </x:c>
      <x:c r="G27" s="14" t="n">
        <x:v>63</x:v>
      </x:c>
      <x:c r="H27" s="14" t="str">
        <x:v>language</x:v>
      </x:c>
      <x:c r="I27" s="14" t="n">
        <x:v>2</x:v>
      </x:c>
    </x:row>
    <x:row r="28">
      <x:c r="A28" s="14" t="str">
        <x:v>南京大学</x:v>
      </x:c>
      <x:c r="B28" s="18" t="n">
        <x:f>COUNTIF('项目审核'!$B$4:$B$103,A28)</x:f>
        <x:v>2</x:v>
      </x:c>
      <x:c r="C28" s="18" t="n">
        <x:f>COUNTIFS('项目审核'!$B$4:$B$103,A28,'项目审核'!$O$4:$O$103,"周期可发布")</x:f>
        <x:v>0</x:v>
      </x:c>
      <x:c r="D28" s="18" t="n">
        <x:f>B28-C28</x:f>
        <x:v>2</x:v>
      </x:c>
      <x:c r="E28" s="14" t="str">
        <x:v>Nanjing University</x:v>
      </x:c>
      <x:c r="F28" s="14" t="str">
        <x:v>Jiangsu</x:v>
      </x:c>
      <x:c r="G28" s="14" t="n">
        <x:v>64</x:v>
      </x:c>
      <x:c r="H28" s="14" t="str">
        <x:v>degree</x:v>
      </x:c>
      <x:c r="I28" s="14" t="n">
        <x:v>2</x:v>
      </x:c>
    </x:row>
    <x:row r="29">
      <x:c r="A29" s="14" t="str">
        <x:v>苏州大学</x:v>
      </x:c>
      <x:c r="B29" s="18" t="n">
        <x:f>COUNTIF('项目审核'!$B$4:$B$103,A29)</x:f>
        <x:v>2</x:v>
      </x:c>
      <x:c r="C29" s="18" t="n">
        <x:f>COUNTIFS('项目审核'!$B$4:$B$103,A29,'项目审核'!$O$4:$O$103,"周期可发布")</x:f>
        <x:v>2</x:v>
      </x:c>
      <x:c r="D29" s="18" t="n">
        <x:f>B29-C29</x:f>
        <x:v>0</x:v>
      </x:c>
      <x:c r="E29" s="14" t="str">
        <x:v>Soochow University</x:v>
      </x:c>
      <x:c r="F29" s="14" t="str">
        <x:v>Jiangsu</x:v>
      </x:c>
      <x:c r="G29" s="14" t="n">
        <x:v>65</x:v>
      </x:c>
      <x:c r="H29" s="14" t="str">
        <x:v>language</x:v>
      </x:c>
      <x:c r="I29" s="14" t="n">
        <x:v>1</x:v>
      </x:c>
    </x:row>
    <x:row r="30">
      <x:c r="A30" s="14" t="str">
        <x:v>东南大学</x:v>
      </x:c>
      <x:c r="B30" s="18" t="n">
        <x:f>COUNTIF('项目审核'!$B$4:$B$103,A30)</x:f>
        <x:v>2</x:v>
      </x:c>
      <x:c r="C30" s="18" t="n">
        <x:f>COUNTIFS('项目审核'!$B$4:$B$103,A30,'项目审核'!$O$4:$O$103,"周期可发布")</x:f>
        <x:v>0</x:v>
      </x:c>
      <x:c r="D30" s="18" t="n">
        <x:f>B30-C30</x:f>
        <x:v>2</x:v>
      </x:c>
      <x:c r="E30" s="14" t="str">
        <x:v>Southeast University</x:v>
      </x:c>
      <x:c r="F30" s="14" t="str">
        <x:v>Jiangsu</x:v>
      </x:c>
      <x:c r="G30" s="14" t="n">
        <x:v>66</x:v>
      </x:c>
      <x:c r="H30" s="14" t="str">
        <x:v>degree</x:v>
      </x:c>
      <x:c r="I30" s="14" t="n">
        <x:v>2</x:v>
      </x:c>
    </x:row>
    <x:row r="31">
      <x:c r="A31" s="14" t="str">
        <x:v>南京师范大学</x:v>
      </x:c>
      <x:c r="B31" s="18" t="n">
        <x:f>COUNTIF('项目审核'!$B$4:$B$103,A31)</x:f>
        <x:v>2</x:v>
      </x:c>
      <x:c r="C31" s="18" t="n">
        <x:f>COUNTIFS('项目审核'!$B$4:$B$103,A31,'项目审核'!$O$4:$O$103,"周期可发布")</x:f>
        <x:v>0</x:v>
      </x:c>
      <x:c r="D31" s="18" t="n">
        <x:f>B31-C31</x:f>
        <x:v>2</x:v>
      </x:c>
      <x:c r="E31" s="14" t="str">
        <x:v>Nanjing Normal University</x:v>
      </x:c>
      <x:c r="F31" s="14" t="str">
        <x:v>Jiangsu</x:v>
      </x:c>
      <x:c r="G31" s="14" t="n">
        <x:v>79</x:v>
      </x:c>
      <x:c r="H31" s="14" t="str">
        <x:v>degree</x:v>
      </x:c>
      <x:c r="I31" s="14" t="n">
        <x:v>1</x:v>
      </x:c>
    </x:row>
    <x:row r="32">
      <x:c r="A32" s="14" t="str">
        <x:v>厦门大学</x:v>
      </x:c>
      <x:c r="B32" s="18" t="n">
        <x:f>COUNTIF('项目审核'!$B$4:$B$103,A32)</x:f>
        <x:v>2</x:v>
      </x:c>
      <x:c r="C32" s="18" t="n">
        <x:f>COUNTIFS('项目审核'!$B$4:$B$103,A32,'项目审核'!$O$4:$O$103,"周期可发布")</x:f>
        <x:v>0</x:v>
      </x:c>
      <x:c r="D32" s="18" t="n">
        <x:f>B32-C32</x:f>
        <x:v>2</x:v>
      </x:c>
      <x:c r="E32" s="14" t="str">
        <x:v>Xiamen University</x:v>
      </x:c>
      <x:c r="F32" s="14" t="str">
        <x:v>Fujian</x:v>
      </x:c>
      <x:c r="G32" s="14" t="n">
        <x:v>85</x:v>
      </x:c>
      <x:c r="H32" s="14" t="str">
        <x:v>degree</x:v>
      </x:c>
      <x:c r="I32" s="14" t="n">
        <x:v>1</x:v>
      </x:c>
    </x:row>
    <x:row r="33">
      <x:c r="A33" s="14" t="str">
        <x:v>武汉大学</x:v>
      </x:c>
      <x:c r="B33" s="18" t="n">
        <x:f>COUNTIF('项目审核'!$B$4:$B$103,A33)</x:f>
        <x:v>2</x:v>
      </x:c>
      <x:c r="C33" s="18" t="n">
        <x:f>COUNTIFS('项目审核'!$B$4:$B$103,A33,'项目审核'!$O$4:$O$103,"周期可发布")</x:f>
        <x:v>0</x:v>
      </x:c>
      <x:c r="D33" s="18" t="n">
        <x:f>B33-C33</x:f>
        <x:v>2</x:v>
      </x:c>
      <x:c r="E33" s="14" t="str">
        <x:v>Wuhan University</x:v>
      </x:c>
      <x:c r="F33" s="14" t="str">
        <x:v>Hubei</x:v>
      </x:c>
      <x:c r="G33" s="14" t="n">
        <x:v>93</x:v>
      </x:c>
      <x:c r="H33" s="14" t="str">
        <x:v>degree</x:v>
      </x:c>
      <x:c r="I33" s="14" t="n">
        <x:v>2</x:v>
      </x:c>
    </x:row>
    <x:row r="34">
      <x:c r="A34" s="14" t="str">
        <x:v>华中科技大学</x:v>
      </x:c>
      <x:c r="B34" s="18" t="n">
        <x:f>COUNTIF('项目审核'!$B$4:$B$103,A34)</x:f>
        <x:v>2</x:v>
      </x:c>
      <x:c r="C34" s="18" t="n">
        <x:f>COUNTIFS('项目审核'!$B$4:$B$103,A34,'项目审核'!$O$4:$O$103,"周期可发布")</x:f>
        <x:v>0</x:v>
      </x:c>
      <x:c r="D34" s="18" t="n">
        <x:f>B34-C34</x:f>
        <x:v>2</x:v>
      </x:c>
      <x:c r="E34" s="14" t="str">
        <x:v>Huazhong University of Science and Technology</x:v>
      </x:c>
      <x:c r="F34" s="14" t="str">
        <x:v>Hubei</x:v>
      </x:c>
      <x:c r="G34" s="14" t="n">
        <x:v>94</x:v>
      </x:c>
      <x:c r="H34" s="14" t="str">
        <x:v>degree, language</x:v>
      </x:c>
      <x:c r="I34" s="14" t="n">
        <x:v>2</x:v>
      </x:c>
    </x:row>
    <x:row r="35">
      <x:c r="A35" s="14" t="str">
        <x:v>中山大学</x:v>
      </x:c>
      <x:c r="B35" s="18" t="n">
        <x:f>COUNTIF('项目审核'!$B$4:$B$103,A35)</x:f>
        <x:v>2</x:v>
      </x:c>
      <x:c r="C35" s="18" t="n">
        <x:f>COUNTIFS('项目审核'!$B$4:$B$103,A35,'项目审核'!$O$4:$O$103,"周期可发布")</x:f>
        <x:v>2</x:v>
      </x:c>
      <x:c r="D35" s="18" t="n">
        <x:f>B35-C35</x:f>
        <x:v>0</x:v>
      </x:c>
      <x:c r="E35" s="14" t="str">
        <x:v>Sun Yat-sen University</x:v>
      </x:c>
      <x:c r="F35" s="14" t="str">
        <x:v>Guangdong</x:v>
      </x:c>
      <x:c r="G35" s="14" t="n">
        <x:v>104</x:v>
      </x:c>
      <x:c r="H35" s="14" t="str">
        <x:v>foundation</x:v>
      </x:c>
      <x:c r="I35" s="14" t="n">
        <x:v>1</x:v>
      </x:c>
    </x:row>
    <x:row r="36">
      <x:c r="A36" s="14" t="str">
        <x:v>四川大学</x:v>
      </x:c>
      <x:c r="B36" s="18" t="n">
        <x:f>COUNTIF('项目审核'!$B$4:$B$103,A36)</x:f>
        <x:v>2</x:v>
      </x:c>
      <x:c r="C36" s="18" t="n">
        <x:f>COUNTIFS('项目审核'!$B$4:$B$103,A36,'项目审核'!$O$4:$O$103,"周期可发布")</x:f>
        <x:v>0</x:v>
      </x:c>
      <x:c r="D36" s="18" t="n">
        <x:f>B36-C36</x:f>
        <x:v>2</x:v>
      </x:c>
      <x:c r="E36" s="14" t="str">
        <x:v>Sichuan University</x:v>
      </x:c>
      <x:c r="F36" s="14" t="str">
        <x:v>Sichuan</x:v>
      </x:c>
      <x:c r="G36" s="14" t="n">
        <x:v>113</x:v>
      </x:c>
      <x:c r="H36" s="14" t="str">
        <x:v>language, short_term</x:v>
      </x:c>
      <x:c r="I36" s="14" t="n">
        <x:v>2</x:v>
      </x:c>
    </x:row>
    <x:row r="37">
      <x:c r="A37" s="14" t="str">
        <x:v>重庆大学</x:v>
      </x:c>
      <x:c r="B37" s="18" t="n">
        <x:f>COUNTIF('项目审核'!$B$4:$B$103,A37)</x:f>
        <x:v>2</x:v>
      </x:c>
      <x:c r="C37" s="18" t="n">
        <x:f>COUNTIFS('项目审核'!$B$4:$B$103,A37,'项目审核'!$O$4:$O$103,"周期可发布")</x:f>
        <x:v>0</x:v>
      </x:c>
      <x:c r="D37" s="18" t="n">
        <x:f>B37-C37</x:f>
        <x:v>2</x:v>
      </x:c>
      <x:c r="E37" s="14" t="str">
        <x:v>Chongqing University</x:v>
      </x:c>
      <x:c r="F37" s="14" t="str">
        <x:v>Chongqing</x:v>
      </x:c>
      <x:c r="G37" s="14" t="n">
        <x:v>114</x:v>
      </x:c>
      <x:c r="H37" s="14" t="str">
        <x:v>degree</x:v>
      </x:c>
      <x:c r="I37" s="14" t="n">
        <x:v>1</x:v>
      </x:c>
    </x:row>
    <x:row r="38">
      <x:c r="A38" s="14" t="str">
        <x:v>电子科技大学</x:v>
      </x:c>
      <x:c r="B38" s="18" t="n">
        <x:f>COUNTIF('项目审核'!$B$4:$B$103,A38)</x:f>
        <x:v>2</x:v>
      </x:c>
      <x:c r="C38" s="18" t="n">
        <x:f>COUNTIFS('项目审核'!$B$4:$B$103,A38,'项目审核'!$O$4:$O$103,"周期可发布")</x:f>
        <x:v>0</x:v>
      </x:c>
      <x:c r="D38" s="18" t="n">
        <x:f>B38-C38</x:f>
        <x:v>2</x:v>
      </x:c>
      <x:c r="E38" s="14" t="str">
        <x:v>University of Electronic Science and Technology of China</x:v>
      </x:c>
      <x:c r="F38" s="14" t="str">
        <x:v>Sichuan</x:v>
      </x:c>
      <x:c r="G38" s="14" t="n">
        <x:v>116</x:v>
      </x:c>
      <x:c r="H38" s="14" t="str">
        <x:v>degree</x:v>
      </x:c>
      <x:c r="I38" s="14" t="n">
        <x:v>2</x:v>
      </x:c>
    </x:row>
    <x:row r="39">
      <x:c r="A39" s="14" t="str">
        <x:v>西安交通大学</x:v>
      </x:c>
      <x:c r="B39" s="18" t="n">
        <x:f>COUNTIF('项目审核'!$B$4:$B$103,A39)</x:f>
        <x:v>2</x:v>
      </x:c>
      <x:c r="C39" s="18" t="n">
        <x:f>COUNTIFS('项目审核'!$B$4:$B$103,A39,'项目审核'!$O$4:$O$103,"周期可发布")</x:f>
        <x:v>0</x:v>
      </x:c>
      <x:c r="D39" s="18" t="n">
        <x:f>B39-C39</x:f>
        <x:v>2</x:v>
      </x:c>
      <x:c r="E39" s="14" t="str">
        <x:v>Xi'an Jiaotong University</x:v>
      </x:c>
      <x:c r="F39" s="14" t="str">
        <x:v>Shaanxi</x:v>
      </x:c>
      <x:c r="G39" s="14" t="n">
        <x:v>127</x:v>
      </x:c>
      <x:c r="H39" s="14" t="str">
        <x:v>degree</x:v>
      </x:c>
      <x:c r="I39" s="14" t="n">
        <x:v>1</x:v>
      </x:c>
    </x:row>
    <x:row r="40">
      <x:c r="A40" s="14" t="str">
        <x:v>西北工业大学</x:v>
      </x:c>
      <x:c r="B40" s="18" t="n">
        <x:f>COUNTIF('项目审核'!$B$4:$B$103,A40)</x:f>
        <x:v>2</x:v>
      </x:c>
      <x:c r="C40" s="18" t="n">
        <x:f>COUNTIFS('项目审核'!$B$4:$B$103,A40,'项目审核'!$O$4:$O$103,"周期可发布")</x:f>
        <x:v>0</x:v>
      </x:c>
      <x:c r="D40" s="18" t="n">
        <x:f>B40-C40</x:f>
        <x:v>2</x:v>
      </x:c>
      <x:c r="E40" s="14" t="str">
        <x:v>Northwestern Polytechnical University</x:v>
      </x:c>
      <x:c r="F40" s="14" t="str">
        <x:v>Shaanxi</x:v>
      </x:c>
      <x:c r="G40" s="14" t="n">
        <x:v>128</x:v>
      </x:c>
      <x:c r="H40" s="14" t="str">
        <x:v>degree</x:v>
      </x:c>
      <x:c r="I40" s="14" t="n">
        <x:v>1</x:v>
      </x:c>
    </x:row>
    <x:row r="41">
      <x:c r="A41" s="14" t="str">
        <x:v>西安电子科技大学</x:v>
      </x:c>
      <x:c r="B41" s="18" t="n">
        <x:f>COUNTIF('项目审核'!$B$4:$B$103,A41)</x:f>
        <x:v>2</x:v>
      </x:c>
      <x:c r="C41" s="18" t="n">
        <x:f>COUNTIFS('项目审核'!$B$4:$B$103,A41,'项目审核'!$O$4:$O$103,"周期可发布")</x:f>
        <x:v>0</x:v>
      </x:c>
      <x:c r="D41" s="18" t="n">
        <x:f>B41-C41</x:f>
        <x:v>2</x:v>
      </x:c>
      <x:c r="E41" s="14" t="str">
        <x:v>Xidian University</x:v>
      </x:c>
      <x:c r="F41" s="14" t="str">
        <x:v>Shaanxi</x:v>
      </x:c>
      <x:c r="G41" s="14" t="n">
        <x:v>129</x:v>
      </x:c>
      <x:c r="H41" s="14" t="str">
        <x:v>degree</x:v>
      </x:c>
      <x:c r="I41" s="14" t="n">
        <x:v>2</x:v>
      </x:c>
    </x:row>
    <x:row r="42">
      <x:c r="A42" s="14" t="str">
        <x:v>西北农林科技大学</x:v>
      </x:c>
      <x:c r="B42" s="18" t="n">
        <x:f>COUNTIF('项目审核'!$B$4:$B$103,A42)</x:f>
        <x:v>2</x:v>
      </x:c>
      <x:c r="C42" s="18" t="n">
        <x:f>COUNTIFS('项目审核'!$B$4:$B$103,A42,'项目审核'!$O$4:$O$103,"周期可发布")</x:f>
        <x:v>0</x:v>
      </x:c>
      <x:c r="D42" s="18" t="n">
        <x:f>B42-C42</x:f>
        <x:v>2</x:v>
      </x:c>
      <x:c r="E42" s="14" t="str">
        <x:v>Northwest A&amp;F University</x:v>
      </x:c>
      <x:c r="F42" s="14" t="str">
        <x:v>Shaanxi</x:v>
      </x:c>
      <x:c r="G42" s="14" t="n">
        <x:v>131</x:v>
      </x:c>
      <x:c r="H42" s="14" t="str">
        <x:v>degree</x:v>
      </x:c>
      <x:c r="I42" s="14" t="n">
        <x:v>1</x:v>
      </x:c>
    </x:row>
    <x:row r="43">
      <x:c r="A43" s="14" t="str">
        <x:v>兰州大学</x:v>
      </x:c>
      <x:c r="B43" s="18" t="n">
        <x:f>COUNTIF('项目审核'!$B$4:$B$103,A43)</x:f>
        <x:v>2</x:v>
      </x:c>
      <x:c r="C43" s="18" t="n">
        <x:f>COUNTIFS('项目审核'!$B$4:$B$103,A43,'项目审核'!$O$4:$O$103,"周期可发布")</x:f>
        <x:v>0</x:v>
      </x:c>
      <x:c r="D43" s="18" t="n">
        <x:f>B43-C43</x:f>
        <x:v>2</x:v>
      </x:c>
      <x:c r="E43" s="14" t="str">
        <x:v>Lanzhou University</x:v>
      </x:c>
      <x:c r="F43" s="14" t="str">
        <x:v>Gansu</x:v>
      </x:c>
      <x:c r="G43" s="14" t="n">
        <x:v>133</x:v>
      </x:c>
      <x:c r="H43" s="14" t="str">
        <x:v>degree</x:v>
      </x:c>
      <x:c r="I43" s="14" t="n">
        <x:v>1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824a1738f2241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30" hidden="0" customWidth="1"/>
    <x:col min="4" max="4" width="44" hidden="0" customWidth="1"/>
    <x:col min="5" max="5" width="48" hidden="0" customWidth="1"/>
    <x:col min="6" max="6" width="24" hidden="0" customWidth="1"/>
  </x:cols>
  <x:sheetData>
    <x:row r="1" ht="30" customHeight="1">
      <x:c r="A1" s="3" t="str">
        <x:v>排除记录与风险</x:v>
      </x:c>
      <x:c r="B1" s="15"/>
      <x:c r="C1" s="15"/>
      <x:c r="D1" s="15"/>
      <x:c r="E1" s="15"/>
      <x:c r="F1" s="15"/>
    </x:row>
    <x:row r="2" ht="36" customHeight="1">
      <x:c r="A2" s="6" t="str">
        <x:v>这里保留过期周期、重复记录、证据不足或超过每校上限的候选，便于追溯；它们不会进入网站发布。</x:v>
      </x:c>
    </x:row>
    <x:row r="3" ht="32" customHeight="1">
      <x:c r="A3" s="13" t="str">
        <x:v>序号</x:v>
      </x:c>
      <x:c r="B3" s="13" t="str">
        <x:v>学校</x:v>
      </x:c>
      <x:c r="C3" s="13" t="str">
        <x:v>项目</x:v>
      </x:c>
      <x:c r="D3" s="13" t="str">
        <x:v>排除原因</x:v>
      </x:c>
      <x:c r="E3" s="13" t="str">
        <x:v>来源</x:v>
      </x:c>
      <x:c r="F3" s="13" t="str">
        <x:v>采集分片</x:v>
      </x:c>
    </x:row>
    <x:row r="4">
      <x:c r="A4" s="14" t="n">
        <x:v>1</x:v>
      </x:c>
      <x:c r="B4" s="14" t="str">
        <x:v>南京大学</x:v>
      </x:c>
      <x:c r="C4" s="14" t="str"/>
      <x:c r="D4" s="14" t="str">
        <x:v>Published 2026 deadlines have passed and were not copied into next-cycle records.</x:v>
      </x:c>
      <x:c r="E4" s="14" t="str">
        <x:v>https://hwxy.nju.edu.cn/English/StudyatNJU/Admissions/ChineseLanguageTraining/LongtermTrainings/index.html</x:v>
      </x:c>
      <x:c r="F4" s="14" t="str">
        <x:v>central-south-02.json</x:v>
      </x:c>
    </x:row>
    <x:row r="5">
      <x:c r="A5" s="14" t="n">
        <x:v>2</x:v>
      </x:c>
      <x:c r="B5" s="14" t="str">
        <x:v>东南大学</x:v>
      </x:c>
      <x:c r="C5" s="14" t="str"/>
      <x:c r="D5" s="14" t="str">
        <x:v>The published admission windows are closed; the next cycle has not been announced.</x:v>
      </x:c>
      <x:c r="E5" s="14" t="str">
        <x:v>https://cis.seu.edu.cn/hwenglish/2863/list.htm</x:v>
      </x:c>
      <x:c r="F5" s="14" t="str">
        <x:v>central-south-02.json</x:v>
      </x:c>
    </x:row>
    <x:row r="6">
      <x:c r="A6" s="14" t="n">
        <x:v>3</x:v>
      </x:c>
      <x:c r="B6" s="14" t="str">
        <x:v>南京师范大学</x:v>
      </x:c>
      <x:c r="C6" s="14" t="str"/>
      <x:c r="D6" s="14" t="str">
        <x:v>The 2026 cycle is closed; its dates were excluded from next-cycle program records.</x:v>
      </x:c>
      <x:c r="E6" s="14" t="str">
        <x:v>https://gjc.njnu.edu.cn/info/1035/6304.htm</x:v>
      </x:c>
      <x:c r="F6" s="14" t="str">
        <x:v>central-south-02.json</x:v>
      </x:c>
    </x:row>
    <x:row r="7">
      <x:c r="A7" s="14" t="n">
        <x:v>4</x:v>
      </x:c>
      <x:c r="B7" s="14" t="str">
        <x:v>武汉大学</x:v>
      </x:c>
      <x:c r="C7" s="14" t="str"/>
      <x:c r="D7" s="14" t="str">
        <x:v>The published 2026 cycles are closed; next-cycle dates remain pending.</x:v>
      </x:c>
      <x:c r="E7" s="14" t="str">
        <x:v>https://admission.whu.edu.cn/info/1121/5802.htm</x:v>
      </x:c>
      <x:c r="F7" s="14" t="str">
        <x:v>central-south-02.json</x:v>
      </x:c>
    </x:row>
    <x:row r="8">
      <x:c r="A8" s="14" t="n">
        <x:v>5</x:v>
      </x:c>
      <x:c r="B8" s="14" t="str">
        <x:v>华中科技大学</x:v>
      </x:c>
      <x:c r="C8" s="14" t="str"/>
      <x:c r="D8" s="14" t="str">
        <x:v>The 2026 application deadlines have passed; future dates were not inferred.</x:v>
      </x:c>
      <x:c r="E8" s="14" t="str">
        <x:v>https://iso.hust.edu.cn/info/1194/4638.htm</x:v>
      </x:c>
      <x:c r="F8" s="14" t="str">
        <x:v>central-south-02.json</x:v>
      </x:c>
    </x:row>
    <x:row r="9">
      <x:c r="A9" s="14" t="n">
        <x:v>6</x:v>
      </x:c>
      <x:c r="B9" s="14" t="str"/>
      <x:c r="C9" s="14" t="str"/>
      <x:c r="D9" s="14" t="str">
        <x:v>The May 15 application deadline has passed; only the officially published Spring 2027 cycle is included.</x:v>
      </x:c>
      <x:c r="E9" s="14" t="str">
        <x:v>https://iso.ruc.edu.cn/docs/2025-12/b911becc69294e3ebd5b337c5fbe70e4.pdf</x:v>
      </x:c>
      <x:c r="F9" s="14" t="str">
        <x:v>north-east-01.json</x:v>
      </x:c>
    </x:row>
    <x:row r="10">
      <x:c r="A10" s="14" t="n">
        <x:v>7</x:v>
      </x:c>
      <x:c r="B10" s="14" t="str"/>
      <x:c r="C10" s="14" t="str"/>
      <x:c r="D10" s="14" t="str">
        <x:v>The May 31 deadline has passed; program identities are retained without projecting a later deadline.</x:v>
      </x:c>
      <x:c r="E10" s="14" t="str">
        <x:v>https://isa.bjut.edu.cn/__local/C/5B/8A/281F6B1C10341C2FF785EEFE956_1A4C4532_5675A.pdf</x:v>
      </x:c>
      <x:c r="F10" s="14" t="str">
        <x:v>north-east-01.json</x:v>
      </x:c>
    </x:row>
    <x:row r="11">
      <x:c r="A11" s="14" t="n">
        <x:v>8</x:v>
      </x:c>
      <x:c r="B11" s="14" t="str"/>
      <x:c r="C11" s="14" t="str"/>
      <x:c r="D11" s="14" t="str">
        <x:v>The June 30 deadline has passed; program identities are retained pending the next official cycle.</x:v>
      </x:c>
      <x:c r="E11" s="14" t="str">
        <x:v>https://is.buaa.edu.cn/en/info/1515/3312.htm</x:v>
      </x:c>
      <x:c r="F11" s="14" t="str">
        <x:v>north-east-01.json</x:v>
      </x:c>
    </x:row>
    <x:row r="12">
      <x:c r="A12" s="14" t="n">
        <x:v>9</x:v>
      </x:c>
      <x:c r="B12" s="14" t="str"/>
      <x:c r="C12" s="14" t="str"/>
      <x:c r="D12" s="14" t="str">
        <x:v>The June 15 deadline has passed; program identities are retained pending the next official cycle.</x:v>
      </x:c>
      <x:c r="E12" s="14" t="str">
        <x:v>https://iscen.ustb.edu.cn/Admissions/7a574bf57214495aa87b81647650f3da.htm</x:v>
      </x:c>
      <x:c r="F12" s="14" t="str">
        <x:v>north-east-01.json</x:v>
      </x:c>
    </x:row>
    <x:row r="13">
      <x:c r="A13" s="14" t="n">
        <x:v>10</x:v>
      </x:c>
      <x:c r="B13" s="14" t="str"/>
      <x:c r="C13" s="14" t="str"/>
      <x:c r="D13" s="14" t="str">
        <x:v>The March 1 deadline has passed; program identities are retained pending the next official cycle.</x:v>
      </x:c>
      <x:c r="E13" s="14" t="str">
        <x:v>https://en-sie.buct.edu.cn/2025/1215/c4216a215812/page.htm</x:v>
      </x:c>
      <x:c r="F13" s="14" t="str">
        <x:v>north-east-01.json</x:v>
      </x:c>
    </x:row>
    <x:row r="14">
      <x:c r="A14" s="14" t="n">
        <x:v>11</x:v>
      </x:c>
      <x:c r="B14" s="14" t="str"/>
      <x:c r="C14" s="14" t="str"/>
      <x:c r="D14" s="14" t="str">
        <x:v>The historical brochure confirms program identity, but its dates are not reused for the unannounced next cycle.</x:v>
      </x:c>
      <x:c r="E14" s="14" t="str">
        <x:v>https://www.bjtu.edu.cn/docs/2024-05/3aa28ff57e374540b43be35b3b29acc1.pdf</x:v>
      </x:c>
      <x:c r="F14" s="14" t="str">
        <x:v>north-east-02.json</x:v>
      </x:c>
    </x:row>
    <x:row r="15">
      <x:c r="A15" s="14" t="n">
        <x:v>12</x:v>
      </x:c>
      <x:c r="B15" s="14" t="str"/>
      <x:c r="C15" s="14" t="str"/>
      <x:c r="D15" s="14" t="str">
        <x:v>The published cycle is historical; no later dated official brochure was used to project application dates.</x:v>
      </x:c>
      <x:c r="E15" s="14" t="str">
        <x:v>https://ois.bupt.edu.cn/info/1010/1659.htm</x:v>
      </x:c>
      <x:c r="F15" s="14" t="str">
        <x:v>north-east-02.json</x:v>
      </x:c>
    </x:row>
    <x:row r="16">
      <x:c r="A16" s="14" t="n">
        <x:v>13</x:v>
      </x:c>
      <x:c r="B16" s="14" t="str"/>
      <x:c r="C16" s="14" t="str"/>
      <x:c r="D16" s="14" t="str">
        <x:v>The scholarship and self-funded windows ended by May 2026; the next official cycle is not announced.</x:v>
      </x:c>
      <x:c r="E16" s="14" t="str">
        <x:v>https://admissions.cau.edu.cn/art/2025/9/29/art_48604_1107314.html</x:v>
      </x:c>
      <x:c r="F16" s="14" t="str">
        <x:v>north-east-02.json</x:v>
      </x:c>
    </x:row>
    <x:row r="17">
      <x:c r="A17" s="14" t="n">
        <x:v>14</x:v>
      </x:c>
      <x:c r="B17" s="14" t="str"/>
      <x:c r="C17" s="14" t="str"/>
      <x:c r="D17" s="14" t="str">
        <x:v>The March 15 deadline has passed; program identities are retained pending the next official cycle.</x:v>
      </x:c>
      <x:c r="E17" s="14" t="str">
        <x:v>https://admission-is.bnu.edu.cn/english/admissionprogram/bachelordegreeprogram/admissionbrochure/index.html</x:v>
      </x:c>
      <x:c r="F17" s="14" t="str">
        <x:v>north-east-02.json</x:v>
      </x:c>
    </x:row>
    <x:row r="18">
      <x:c r="A18" s="14" t="n">
        <x:v>15</x:v>
      </x:c>
      <x:c r="B18" s="14" t="str"/>
      <x:c r="C18" s="14" t="str"/>
      <x:c r="D18" s="14" t="str">
        <x:v>The official eligibility rules require participants to be enrolled as a group, so this is not retained as an individually accessible program.</x:v>
      </x:c>
      <x:c r="E18" s="14" t="str">
        <x:v>https://ic.bjfu.edu.cn/Admission/Overview/index.htm</x:v>
      </x:c>
      <x:c r="F18" s="14" t="str">
        <x:v>north-east-03.json</x:v>
      </x:c>
    </x:row>
    <x:row r="19">
      <x:c r="A19" s="14" t="n">
        <x:v>16</x:v>
      </x:c>
      <x:c r="B19" s="14" t="str"/>
      <x:c r="C19" s="14" t="str"/>
      <x:c r="D19" s="14" t="str">
        <x:v>The official eligibility rules restrict this category to current students of BJFU partner universities.</x:v>
      </x:c>
      <x:c r="E19" s="14" t="str">
        <x:v>https://ic.bjfu.edu.cn/Admission/Overview/index.htm</x:v>
      </x:c>
      <x:c r="F19" s="14" t="str">
        <x:v>north-east-03.json</x:v>
      </x:c>
    </x:row>
    <x:row r="20">
      <x:c r="A20" s="14" t="n">
        <x:v>17</x:v>
      </x:c>
      <x:c r="B20" s="14" t="str"/>
      <x:c r="C20" s="14" t="str"/>
      <x:c r="D20" s="14" t="str">
        <x:v>The official application period ended on 2026-06-15; only the later Spring application window is retained.</x:v>
      </x:c>
      <x:c r="E20" s="14" t="str">
        <x:v>https://osao.bfsu.edu.cn/info/2612/7182.htm</x:v>
      </x:c>
      <x:c r="F20" s="14" t="str">
        <x:v>north-east-03.json</x:v>
      </x:c>
    </x:row>
    <x:row r="21">
      <x:c r="A21" s="14" t="n">
        <x:v>18</x:v>
      </x:c>
      <x:c r="B21" s="14" t="str"/>
      <x:c r="C21" s="14" t="str"/>
      <x:c r="D21" s="14" t="str">
        <x:v>The official Q&amp;A states degree deadlines are normally in April–May; the next exact annual cycle has not yet been announced, so no old date is reused.</x:v>
      </x:c>
      <x:c r="E21" s="14" t="str">
        <x:v>https://icuc.cuc.edu.cn/2026/0204/c7289a266930/page.htm</x:v>
      </x:c>
      <x:c r="F21" s="14" t="str">
        <x:v>north-east-03.json</x:v>
      </x:c>
    </x:row>
    <x:row r="22">
      <x:c r="A22" s="14" t="n">
        <x:v>19</x:v>
      </x:c>
      <x:c r="B22" s="14" t="str"/>
      <x:c r="C22" s="14" t="str"/>
      <x:c r="D22" s="14" t="str">
        <x:v>The second and final official application round ended on 2026-06-25; the next official cycle is not announced.</x:v>
      </x:c>
      <x:c r="E22" s="14" t="str">
        <x:v>https://sice.cufe.edu.cn/admissions/info/1046/3424.htm</x:v>
      </x:c>
      <x:c r="F22" s="14" t="str">
        <x:v>north-east-03.json</x:v>
      </x:c>
    </x:row>
    <x:row r="23">
      <x:c r="A23" s="14" t="n">
        <x:v>20</x:v>
      </x:c>
      <x:c r="B23" s="14" t="str"/>
      <x:c r="C23" s="14" t="str"/>
      <x:c r="D23" s="14" t="str">
        <x:v>The official application deadline was 2026-07-15; the program identity is retained only with next-cycle dates pending.</x:v>
      </x:c>
      <x:c r="E23" s="14" t="str">
        <x:v>https://cie.muc.edu.cn/info/1726/11469.htm</x:v>
      </x:c>
      <x:c r="F23" s="14" t="str">
        <x:v>north-east-03.json</x:v>
      </x:c>
    </x:row>
    <x:row r="24">
      <x:c r="A24" s="14" t="n">
        <x:v>21</x:v>
      </x:c>
      <x:c r="B24" s="14" t="str"/>
      <x:c r="C24" s="14" t="str"/>
      <x:c r="D24" s="14" t="str">
        <x:v>The official page describes a recommending-institution group route of 10–15 participants; individual accessibility is not sufficiently clear for this strict batch.</x:v>
      </x:c>
      <x:c r="E24" s="14" t="str">
        <x:v>https://cie.muc.edu.cn/info/1756/12319.htm</x:v>
      </x:c>
      <x:c r="F24" s="14" t="str">
        <x:v>north-east-03.json</x:v>
      </x:c>
    </x:row>
    <x:row r="25">
      <x:c r="A25" s="14" t="n">
        <x:v>22</x:v>
      </x:c>
      <x:c r="B25" s="14" t="str"/>
      <x:c r="C25" s="14" t="str"/>
      <x:c r="D25" s="14" t="str">
        <x:v>The published cycle is closed; only program identities are retained pending the next official cycle.</x:v>
      </x:c>
      <x:c r="E25" s="14" t="str"/>
      <x:c r="F25" s="14" t="str">
        <x:v>west-coast-01.json</x:v>
      </x:c>
    </x:row>
    <x:row r="26">
      <x:c r="A26" s="14" t="n">
        <x:v>23</x:v>
      </x:c>
      <x:c r="B26" s="14" t="str"/>
      <x:c r="C26" s="14" t="str"/>
      <x:c r="D26" s="14" t="str">
        <x:v>The official pages do not bind the windows to a specific academic year, so no dates were inferred.</x:v>
      </x:c>
      <x:c r="E26" s="14" t="str"/>
      <x:c r="F26" s="14" t="str">
        <x:v>west-coast-01.json</x:v>
      </x:c>
    </x:row>
    <x:row r="27">
      <x:c r="A27" s="14" t="n">
        <x:v>24</x:v>
      </x:c>
      <x:c r="B27" s="14" t="str"/>
      <x:c r="C27" s="14" t="str"/>
      <x:c r="D27" s="14" t="str">
        <x:v>The May 31 deadline has passed; the next official cycle has not been announced.</x:v>
      </x:c>
      <x:c r="E27" s="14" t="str"/>
      <x:c r="F27" s="14" t="str">
        <x:v>west-coast-01.json</x:v>
      </x:c>
    </x:row>
    <x:row r="28">
      <x:c r="A28" s="14" t="n">
        <x:v>25</x:v>
      </x:c>
      <x:c r="B28" s="14" t="str"/>
      <x:c r="C28" s="14" t="str"/>
      <x:c r="D28" s="14" t="str">
        <x:v>The June 30 deadline has passed; the next official cycle has not been announced.</x:v>
      </x:c>
      <x:c r="E28" s="14" t="str"/>
      <x:c r="F28" s="14" t="str">
        <x:v>west-coast-01.json</x:v>
      </x:c>
    </x:row>
    <x:row r="29">
      <x:c r="A29" s="14" t="n">
        <x:v>26</x:v>
      </x:c>
      <x:c r="B29" s="14" t="str"/>
      <x:c r="C29" s="14" t="str"/>
      <x:c r="D29" s="14" t="str">
        <x:v>The June 30 deadline has passed; the next official cycle has not been announced.</x:v>
      </x:c>
      <x:c r="E29" s="14" t="str"/>
      <x:c r="F29" s="14" t="str">
        <x:v>west-coast-02.json</x:v>
      </x:c>
    </x:row>
    <x:row r="30">
      <x:c r="A30" s="14" t="n">
        <x:v>27</x:v>
      </x:c>
      <x:c r="B30" s="14" t="str"/>
      <x:c r="C30" s="14" t="str"/>
      <x:c r="D30" s="14" t="str">
        <x:v>The May 20 final-round deadline has passed; the next official undergraduate cycle is pending.</x:v>
      </x:c>
      <x:c r="E30" s="14" t="str"/>
      <x:c r="F30" s="14" t="str">
        <x:v>west-coast-02.json</x:v>
      </x:c>
    </x:row>
    <x:row r="31">
      <x:c r="A31" s="14" t="n">
        <x:v>28</x:v>
      </x:c>
      <x:c r="B31" s="14" t="str"/>
      <x:c r="C31" s="14" t="str"/>
      <x:c r="D31" s="14" t="str">
        <x:v>No future application dates were confirmed on the official pages, so no dates were inferred.</x:v>
      </x:c>
      <x:c r="E31" s="14" t="str"/>
      <x:c r="F31" s="14" t="str">
        <x:v>west-coast-02.json</x:v>
      </x:c>
    </x:row>
    <x:row r="32">
      <x:c r="A32" s="14" t="n">
        <x:v>29</x:v>
      </x:c>
      <x:c r="B32" s="14" t="str"/>
      <x:c r="C32" s="14" t="str"/>
      <x:c r="D32" s="14" t="str">
        <x:v>The June 30 application window has passed; the next official cycle has not been announced.</x:v>
      </x:c>
      <x:c r="E32" s="14" t="str"/>
      <x:c r="F32" s="14" t="str">
        <x:v>west-coast-02.json</x:v>
      </x:c>
    </x:row>
    <x:row r="33">
      <x:c r="A33" s="14" t="n">
        <x:v>30</x:v>
      </x:c>
      <x:c r="B33" s="14" t="str"/>
      <x:c r="C33" s="14" t="str"/>
      <x:c r="D33" s="14" t="str">
        <x:v>The May 31 self-funded deadline has passed; the next official cycle has not been announced.</x:v>
      </x:c>
      <x:c r="E33" s="14" t="str"/>
      <x:c r="F33" s="14" t="str">
        <x:v>west-coast-02.json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4c3242d5b9f43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2" hidden="0" customWidth="1"/>
  </x:cols>
  <x:sheetData>
    <x:row r="1">
      <x:c r="A1" s="2" t="str">
        <x:v>采集与发布口径</x:v>
      </x:c>
    </x:row>
    <x:row r="3">
      <x:c r="A3" s="19" t="str">
        <x:v>规则</x:v>
      </x:c>
      <x:c r="B3" s="19" t="str">
        <x:v>定义</x:v>
      </x:c>
    </x:row>
    <x:row r="4">
      <x:c r="A4" s="21" t="str">
        <x:v>学校范围</x:v>
      </x:c>
      <x:c r="B4" s="21" t="str">
        <x:v>教育部第二轮双一流名单，排除军校；本批次另外排除北大、清华、浙大。</x:v>
      </x:c>
    </x:row>
    <x:row r="5">
      <x:c r="A5" s="21" t="str">
        <x:v>国际生资格</x:v>
      </x:c>
      <x:c r="B5" s="21" t="str">
        <x:v>官方页面必须明确 international students、foreign applicants 或 non-Chinese citizens。</x:v>
      </x:c>
    </x:row>
    <x:row r="6">
      <x:c r="A6" s="21" t="str">
        <x:v>个人申请</x:v>
      </x:c>
      <x:c r="B6" s="21" t="str">
        <x:v>必须存在个人注册、在线申请或直接提交材料的官方路径；仅校际提名交换不收录。</x:v>
      </x:c>
    </x:row>
    <x:row r="7">
      <x:c r="A7" s="21" t="str">
        <x:v>每校上限</x:v>
      </x:c>
      <x:c r="B7" s="21" t="str">
        <x:v>首批审核最多 3 条，采用学校轮询选择，优先扩大高校覆盖。</x:v>
      </x:c>
    </x:row>
    <x:row r="8">
      <x:c r="A8" s="21" t="str">
        <x:v>cycle_ready</x:v>
      </x:c>
      <x:c r="B8" s="21" t="str">
        <x:v>官方已公布当前/未来周期，或明确滚动申请，可作为发布候选。</x:v>
      </x:c>
    </x:row>
    <x:row r="9">
      <x:c r="A9" s="21" t="str">
        <x:v>program_identity_only</x:v>
      </x:c>
      <x:c r="B9" s="21" t="str">
        <x:v>仅能证明项目面向国际生；下期日期未公布或本期已关闭，不展示开放状态。</x:v>
      </x:c>
    </x:row>
  </x:sheetData>
  <x:mergeCells>
    <x:mergeCell ref="A1:F1"/>
  </x:mergeCells>
  <x:pageMargins left="0.7" right="0.7" top="0.75" bottom="0.75" header="0.3" footer="0.3"/>
</x:worksheet>
</file>